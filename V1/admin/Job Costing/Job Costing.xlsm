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ilanvanniekerk/Desktop/Connectt/Job Costing/"/>
    </mc:Choice>
  </mc:AlternateContent>
  <xr:revisionPtr revIDLastSave="0" documentId="13_ncr:1_{0B1E5C42-AA14-BB44-9C43-FE3F2A81B877}" xr6:coauthVersionLast="45" xr6:coauthVersionMax="45" xr10:uidLastSave="{00000000-0000-0000-0000-000000000000}"/>
  <bookViews>
    <workbookView xWindow="0" yWindow="460" windowWidth="28800" windowHeight="16100" activeTab="6" xr2:uid="{A88C5E97-769C-AB48-BA2C-9647878D225B}"/>
  </bookViews>
  <sheets>
    <sheet name="New Client" sheetId="14" r:id="rId1"/>
    <sheet name="Client Info" sheetId="3" r:id="rId2"/>
    <sheet name="Costing" sheetId="5" r:id="rId3"/>
    <sheet name="Staff Info" sheetId="2" r:id="rId4"/>
    <sheet name="Data Validation" sheetId="6" r:id="rId5"/>
    <sheet name="Industries" sheetId="4" r:id="rId6"/>
    <sheet name="Budgeted Time" sheetId="11" r:id="rId7"/>
  </sheets>
  <definedNames>
    <definedName name="Active">'New Client'!$E$6</definedName>
    <definedName name="BAS1_Frequency">'New Client'!$G$20</definedName>
    <definedName name="BAS1_Minutes">'New Client'!$G$21</definedName>
    <definedName name="BAS1_Staff">'New Client'!$G$19</definedName>
    <definedName name="BAS2_Frequency">'New Client'!$I$20</definedName>
    <definedName name="BAS2_Minutes">'New Client'!$I$21</definedName>
    <definedName name="BAS2_Staff">'New Client'!$I$19</definedName>
    <definedName name="Book_Frequency">'New Client'!$I$14</definedName>
    <definedName name="Book_Minutes">'New Client'!$I$15</definedName>
    <definedName name="Book_Staff">'New Client'!$I$13</definedName>
    <definedName name="Client_Name">'New Client'!$E$5</definedName>
    <definedName name="EOFY_Minutes1">'New Client'!$G$25</definedName>
    <definedName name="EOFY_Minutes2">'New Client'!$G$27</definedName>
    <definedName name="EOFY_Staff1">'New Client'!$G$24</definedName>
    <definedName name="EOFY_Staff2">'New Client'!$G$26</definedName>
    <definedName name="Freq">Frequency[Frequency]</definedName>
    <definedName name="IAS_Frequency">'New Client'!$E$25</definedName>
    <definedName name="IAS_Minutes">'New Client'!$E$26</definedName>
    <definedName name="IAS_Staff">'New Client'!$E$24</definedName>
    <definedName name="Industry_Name">Industries[Industry]</definedName>
    <definedName name="Industry_NC">'New Client'!$E$8</definedName>
    <definedName name="Onboarding_Staff">'New Client'!$E$10</definedName>
    <definedName name="Package">'New Client'!$I$24</definedName>
    <definedName name="Package_Names">Software[Software]</definedName>
    <definedName name="Payroll_Frequency">'New Client'!$E$14</definedName>
    <definedName name="Payroll_Minutes">'New Client'!$E$15</definedName>
    <definedName name="Payroll_Staff">'New Client'!$E$13</definedName>
    <definedName name="Qty_Emp">'New Client'!$E$9</definedName>
    <definedName name="Report_Frequency">'New Client'!$E$20</definedName>
    <definedName name="Report_Minutes">'New Client'!$E$21</definedName>
    <definedName name="Report_Staff">'New Client'!$E$19</definedName>
    <definedName name="Responsible_Staff">'New Client'!$E$7</definedName>
    <definedName name="Staff_First_Name">Staff_Info[Staff First Name]</definedName>
    <definedName name="Super_Frequency">'New Client'!$G$14</definedName>
    <definedName name="Super_Minutes">'New Client'!$G$15</definedName>
    <definedName name="Super_Staff">'New Client'!$G$13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" i="3" l="1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D2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C546" i="11"/>
  <c r="C547" i="11"/>
  <c r="C548" i="11"/>
  <c r="C549" i="11"/>
  <c r="C550" i="11"/>
  <c r="C551" i="11"/>
  <c r="C552" i="11"/>
  <c r="C553" i="11"/>
  <c r="C554" i="11"/>
  <c r="C555" i="11"/>
  <c r="C556" i="11"/>
  <c r="C557" i="11"/>
  <c r="C558" i="11"/>
  <c r="C559" i="11"/>
  <c r="C560" i="11"/>
  <c r="C561" i="11"/>
  <c r="C562" i="11"/>
  <c r="C563" i="11"/>
  <c r="C564" i="11"/>
  <c r="C565" i="11"/>
  <c r="C566" i="11"/>
  <c r="C567" i="11"/>
  <c r="C568" i="11"/>
  <c r="C569" i="11"/>
  <c r="C570" i="11"/>
  <c r="C571" i="11"/>
  <c r="C572" i="11"/>
  <c r="C573" i="11"/>
  <c r="C574" i="11"/>
  <c r="C575" i="11"/>
  <c r="C576" i="11"/>
  <c r="C577" i="11"/>
  <c r="C578" i="11"/>
  <c r="C579" i="11"/>
  <c r="C580" i="11"/>
  <c r="C581" i="11"/>
  <c r="C582" i="11"/>
  <c r="C583" i="11"/>
  <c r="C584" i="11"/>
  <c r="C585" i="11"/>
  <c r="C586" i="11"/>
  <c r="C587" i="11"/>
  <c r="C588" i="11"/>
  <c r="C589" i="11"/>
  <c r="C590" i="11"/>
  <c r="C591" i="11"/>
  <c r="C592" i="11"/>
  <c r="C593" i="11"/>
  <c r="C594" i="11"/>
  <c r="C595" i="11"/>
  <c r="C596" i="11"/>
  <c r="C597" i="11"/>
  <c r="C598" i="11"/>
  <c r="C599" i="11"/>
  <c r="C600" i="11"/>
  <c r="C601" i="11"/>
  <c r="C602" i="11"/>
  <c r="C603" i="11"/>
  <c r="C604" i="11"/>
  <c r="C605" i="11"/>
  <c r="C606" i="11"/>
  <c r="C607" i="11"/>
  <c r="C608" i="11"/>
  <c r="C609" i="11"/>
  <c r="C610" i="11"/>
  <c r="C611" i="11"/>
  <c r="C612" i="11"/>
  <c r="C613" i="11"/>
  <c r="C614" i="11"/>
  <c r="C615" i="11"/>
  <c r="C616" i="11"/>
  <c r="C617" i="11"/>
  <c r="C618" i="11"/>
  <c r="C619" i="11"/>
  <c r="C620" i="11"/>
  <c r="C621" i="11"/>
  <c r="C622" i="11"/>
  <c r="C623" i="11"/>
  <c r="C624" i="11"/>
  <c r="C625" i="11"/>
  <c r="C626" i="11"/>
  <c r="C627" i="11"/>
  <c r="C628" i="11"/>
  <c r="C629" i="11"/>
  <c r="C630" i="11"/>
  <c r="C631" i="11"/>
  <c r="C632" i="11"/>
  <c r="C633" i="11"/>
  <c r="C634" i="11"/>
  <c r="C635" i="11"/>
  <c r="C636" i="11"/>
  <c r="C637" i="11"/>
  <c r="C638" i="11"/>
  <c r="C639" i="11"/>
  <c r="C640" i="11"/>
  <c r="C641" i="11"/>
  <c r="C642" i="11"/>
  <c r="C643" i="11"/>
  <c r="C644" i="11"/>
  <c r="C645" i="11"/>
  <c r="C646" i="11"/>
  <c r="C647" i="11"/>
  <c r="C648" i="11"/>
  <c r="C649" i="11"/>
  <c r="C650" i="11"/>
  <c r="C651" i="11"/>
  <c r="C652" i="11"/>
  <c r="C653" i="11"/>
  <c r="C654" i="11"/>
  <c r="C655" i="11"/>
  <c r="C656" i="11"/>
  <c r="C657" i="11"/>
  <c r="C658" i="11"/>
  <c r="C659" i="11"/>
  <c r="C660" i="11"/>
  <c r="C661" i="11"/>
  <c r="C662" i="11"/>
  <c r="C663" i="11"/>
  <c r="C664" i="11"/>
  <c r="C665" i="11"/>
  <c r="C666" i="11"/>
  <c r="C667" i="11"/>
  <c r="C668" i="11"/>
  <c r="C669" i="11"/>
  <c r="C670" i="11"/>
  <c r="C671" i="11"/>
  <c r="C672" i="11"/>
  <c r="C673" i="11"/>
  <c r="C674" i="11"/>
  <c r="C675" i="11"/>
  <c r="C676" i="11"/>
  <c r="C677" i="11"/>
  <c r="C678" i="11"/>
  <c r="C679" i="11"/>
  <c r="C680" i="11"/>
  <c r="C681" i="11"/>
  <c r="C682" i="11"/>
  <c r="C683" i="11"/>
  <c r="C684" i="11"/>
  <c r="C685" i="11"/>
  <c r="C686" i="11"/>
  <c r="C687" i="11"/>
  <c r="C688" i="11"/>
  <c r="C689" i="11"/>
  <c r="C690" i="11"/>
  <c r="C691" i="11"/>
  <c r="C692" i="11"/>
  <c r="C693" i="11"/>
  <c r="C694" i="11"/>
  <c r="C695" i="11"/>
  <c r="C696" i="11"/>
  <c r="C697" i="11"/>
  <c r="C698" i="11"/>
  <c r="C699" i="11"/>
  <c r="C700" i="11"/>
  <c r="C701" i="11"/>
  <c r="C702" i="11"/>
  <c r="C703" i="11"/>
  <c r="C704" i="11"/>
  <c r="C705" i="11"/>
  <c r="C706" i="11"/>
  <c r="C707" i="11"/>
  <c r="C708" i="11"/>
  <c r="C709" i="11"/>
  <c r="C710" i="11"/>
  <c r="C711" i="11"/>
  <c r="C712" i="11"/>
  <c r="C713" i="11"/>
  <c r="C714" i="11"/>
  <c r="C715" i="11"/>
  <c r="C716" i="11"/>
  <c r="C717" i="11"/>
  <c r="C718" i="11"/>
  <c r="C719" i="11"/>
  <c r="C720" i="11"/>
  <c r="C721" i="11"/>
  <c r="C722" i="11"/>
  <c r="C723" i="11"/>
  <c r="C724" i="11"/>
  <c r="C725" i="11"/>
  <c r="C726" i="11"/>
  <c r="C727" i="11"/>
  <c r="C728" i="11"/>
  <c r="C729" i="11"/>
  <c r="C730" i="11"/>
  <c r="C731" i="11"/>
  <c r="C732" i="11"/>
  <c r="C733" i="11"/>
  <c r="C734" i="11"/>
  <c r="C735" i="11"/>
  <c r="C736" i="11"/>
  <c r="C737" i="11"/>
  <c r="C738" i="11"/>
  <c r="C739" i="11"/>
  <c r="C740" i="11"/>
  <c r="C741" i="11"/>
  <c r="C742" i="11"/>
  <c r="C743" i="11"/>
  <c r="C744" i="11"/>
  <c r="C745" i="11"/>
  <c r="C746" i="11"/>
  <c r="C747" i="11"/>
  <c r="C748" i="11"/>
  <c r="C749" i="11"/>
  <c r="C750" i="11"/>
  <c r="C751" i="11"/>
  <c r="C752" i="11"/>
  <c r="C753" i="11"/>
  <c r="C754" i="11"/>
  <c r="C755" i="11"/>
  <c r="C756" i="11"/>
  <c r="C757" i="11"/>
  <c r="C758" i="11"/>
  <c r="C759" i="11"/>
  <c r="C760" i="11"/>
  <c r="C761" i="11"/>
  <c r="C762" i="11"/>
  <c r="C763" i="11"/>
  <c r="C764" i="11"/>
  <c r="C765" i="11"/>
  <c r="C766" i="11"/>
  <c r="C767" i="11"/>
  <c r="C768" i="11"/>
  <c r="C769" i="11"/>
  <c r="C770" i="11"/>
  <c r="C771" i="11"/>
  <c r="C772" i="11"/>
  <c r="C773" i="11"/>
  <c r="C774" i="11"/>
  <c r="C775" i="11"/>
  <c r="C776" i="11"/>
  <c r="C777" i="11"/>
  <c r="C778" i="11"/>
  <c r="C779" i="11"/>
  <c r="C780" i="11"/>
  <c r="C781" i="11"/>
  <c r="C782" i="11"/>
  <c r="C783" i="11"/>
  <c r="C784" i="11"/>
  <c r="C785" i="11"/>
  <c r="C786" i="11"/>
  <c r="C787" i="11"/>
  <c r="C788" i="11"/>
  <c r="C789" i="11"/>
  <c r="C790" i="11"/>
  <c r="C791" i="11"/>
  <c r="C792" i="11"/>
  <c r="C793" i="11"/>
  <c r="C794" i="11"/>
  <c r="C795" i="11"/>
  <c r="C796" i="11"/>
  <c r="C797" i="11"/>
  <c r="C798" i="11"/>
  <c r="C799" i="11"/>
  <c r="C800" i="11"/>
  <c r="C801" i="11"/>
  <c r="C802" i="11"/>
  <c r="C803" i="11"/>
  <c r="C804" i="11"/>
  <c r="C805" i="11"/>
  <c r="C806" i="11"/>
  <c r="C807" i="11"/>
  <c r="C808" i="11"/>
  <c r="C809" i="11"/>
  <c r="C810" i="11"/>
  <c r="C811" i="11"/>
  <c r="C812" i="11"/>
  <c r="C813" i="11"/>
  <c r="C814" i="11"/>
  <c r="C815" i="11"/>
  <c r="C816" i="11"/>
  <c r="C817" i="11"/>
  <c r="C818" i="11"/>
  <c r="C819" i="11"/>
  <c r="C820" i="11"/>
  <c r="C821" i="11"/>
  <c r="C12" i="11"/>
  <c r="C13" i="11"/>
  <c r="C14" i="11"/>
  <c r="C15" i="11"/>
  <c r="C16" i="11"/>
  <c r="C17" i="11"/>
  <c r="C18" i="11"/>
  <c r="C19" i="11"/>
  <c r="C20" i="11"/>
  <c r="C21" i="11"/>
  <c r="C10" i="11"/>
  <c r="C11" i="11"/>
  <c r="C9" i="11"/>
  <c r="C8" i="11"/>
  <c r="C7" i="11"/>
  <c r="C6" i="11"/>
  <c r="C5" i="11"/>
  <c r="C4" i="11"/>
  <c r="C3" i="11"/>
  <c r="C2" i="11"/>
  <c r="D820" i="11"/>
  <c r="D819" i="11"/>
  <c r="D818" i="11"/>
  <c r="D817" i="11"/>
  <c r="D816" i="11"/>
  <c r="D815" i="11"/>
  <c r="D814" i="11"/>
  <c r="D813" i="11"/>
  <c r="D812" i="11"/>
  <c r="D810" i="11"/>
  <c r="D809" i="11"/>
  <c r="D808" i="11"/>
  <c r="D807" i="11"/>
  <c r="D806" i="11"/>
  <c r="D805" i="11"/>
  <c r="D804" i="11"/>
  <c r="D803" i="11"/>
  <c r="D802" i="11"/>
  <c r="D800" i="11"/>
  <c r="D799" i="11"/>
  <c r="D798" i="11"/>
  <c r="D797" i="11"/>
  <c r="D796" i="11"/>
  <c r="D795" i="11"/>
  <c r="D794" i="11"/>
  <c r="D793" i="11"/>
  <c r="D792" i="11"/>
  <c r="D790" i="11"/>
  <c r="D789" i="11"/>
  <c r="D788" i="11"/>
  <c r="D787" i="11"/>
  <c r="D786" i="11"/>
  <c r="D785" i="11"/>
  <c r="D784" i="11"/>
  <c r="D783" i="11"/>
  <c r="D782" i="11"/>
  <c r="D780" i="11"/>
  <c r="D779" i="11"/>
  <c r="D778" i="11"/>
  <c r="D777" i="11"/>
  <c r="D776" i="11"/>
  <c r="D775" i="11"/>
  <c r="D774" i="11"/>
  <c r="D773" i="11"/>
  <c r="D772" i="11"/>
  <c r="D770" i="11"/>
  <c r="D769" i="11"/>
  <c r="D768" i="11"/>
  <c r="D767" i="11"/>
  <c r="D766" i="11"/>
  <c r="D765" i="11"/>
  <c r="D764" i="11"/>
  <c r="D763" i="11"/>
  <c r="D762" i="11"/>
  <c r="D760" i="11"/>
  <c r="D759" i="11"/>
  <c r="D758" i="11"/>
  <c r="D757" i="11"/>
  <c r="D756" i="11"/>
  <c r="D755" i="11"/>
  <c r="D754" i="11"/>
  <c r="D753" i="11"/>
  <c r="D752" i="11"/>
  <c r="D750" i="11"/>
  <c r="D749" i="11"/>
  <c r="D748" i="11"/>
  <c r="D747" i="11"/>
  <c r="D746" i="11"/>
  <c r="D745" i="11"/>
  <c r="D744" i="11"/>
  <c r="D743" i="11"/>
  <c r="D742" i="11"/>
  <c r="D12" i="11"/>
  <c r="D13" i="11"/>
  <c r="D14" i="11"/>
  <c r="D15" i="11"/>
  <c r="D16" i="11"/>
  <c r="D17" i="11"/>
  <c r="D18" i="11"/>
  <c r="D19" i="11"/>
  <c r="D20" i="11"/>
  <c r="D22" i="11"/>
  <c r="D23" i="11"/>
  <c r="D24" i="11"/>
  <c r="D25" i="11"/>
  <c r="D26" i="11"/>
  <c r="D27" i="11"/>
  <c r="D28" i="11"/>
  <c r="D29" i="11"/>
  <c r="D30" i="11"/>
  <c r="D32" i="11"/>
  <c r="D33" i="11"/>
  <c r="D34" i="11"/>
  <c r="D35" i="11"/>
  <c r="D36" i="11"/>
  <c r="D37" i="11"/>
  <c r="D38" i="11"/>
  <c r="D39" i="11"/>
  <c r="D40" i="11"/>
  <c r="D42" i="11"/>
  <c r="D43" i="11"/>
  <c r="D44" i="11"/>
  <c r="D45" i="11"/>
  <c r="D46" i="11"/>
  <c r="D47" i="11"/>
  <c r="D48" i="11"/>
  <c r="D49" i="11"/>
  <c r="D50" i="11"/>
  <c r="D52" i="11"/>
  <c r="D53" i="11"/>
  <c r="D54" i="11"/>
  <c r="D55" i="11"/>
  <c r="D56" i="11"/>
  <c r="D57" i="11"/>
  <c r="D58" i="11"/>
  <c r="D59" i="11"/>
  <c r="D60" i="11"/>
  <c r="D62" i="11"/>
  <c r="D63" i="11"/>
  <c r="D64" i="11"/>
  <c r="D65" i="11"/>
  <c r="D66" i="11"/>
  <c r="D67" i="11"/>
  <c r="D68" i="11"/>
  <c r="D69" i="11"/>
  <c r="D70" i="11"/>
  <c r="D72" i="11"/>
  <c r="D73" i="11"/>
  <c r="D74" i="11"/>
  <c r="D75" i="11"/>
  <c r="D76" i="11"/>
  <c r="D77" i="11"/>
  <c r="D78" i="11"/>
  <c r="D79" i="11"/>
  <c r="D80" i="11"/>
  <c r="D82" i="11"/>
  <c r="D83" i="11"/>
  <c r="D84" i="11"/>
  <c r="D85" i="11"/>
  <c r="D86" i="11"/>
  <c r="D87" i="11"/>
  <c r="D88" i="11"/>
  <c r="D89" i="11"/>
  <c r="D90" i="11"/>
  <c r="D92" i="11"/>
  <c r="D93" i="11"/>
  <c r="D94" i="11"/>
  <c r="D95" i="11"/>
  <c r="D96" i="11"/>
  <c r="D97" i="11"/>
  <c r="D98" i="11"/>
  <c r="D99" i="11"/>
  <c r="D100" i="11"/>
  <c r="D102" i="11"/>
  <c r="D103" i="11"/>
  <c r="D104" i="11"/>
  <c r="D105" i="11"/>
  <c r="D106" i="11"/>
  <c r="D107" i="11"/>
  <c r="D108" i="11"/>
  <c r="D109" i="11"/>
  <c r="D110" i="11"/>
  <c r="D112" i="11"/>
  <c r="D113" i="11"/>
  <c r="D114" i="11"/>
  <c r="D115" i="11"/>
  <c r="D116" i="11"/>
  <c r="D117" i="11"/>
  <c r="D118" i="11"/>
  <c r="D119" i="11"/>
  <c r="D120" i="11"/>
  <c r="D122" i="11"/>
  <c r="D123" i="11"/>
  <c r="D124" i="11"/>
  <c r="D125" i="11"/>
  <c r="D126" i="11"/>
  <c r="D127" i="11"/>
  <c r="D128" i="11"/>
  <c r="D129" i="11"/>
  <c r="D130" i="11"/>
  <c r="D132" i="11"/>
  <c r="D133" i="11"/>
  <c r="D134" i="11"/>
  <c r="D135" i="11"/>
  <c r="D136" i="11"/>
  <c r="D137" i="11"/>
  <c r="D138" i="11"/>
  <c r="D139" i="11"/>
  <c r="D140" i="11"/>
  <c r="D142" i="11"/>
  <c r="D143" i="11"/>
  <c r="D144" i="11"/>
  <c r="D145" i="11"/>
  <c r="D146" i="11"/>
  <c r="D147" i="11"/>
  <c r="D148" i="11"/>
  <c r="D149" i="11"/>
  <c r="D150" i="11"/>
  <c r="D152" i="11"/>
  <c r="D153" i="11"/>
  <c r="D154" i="11"/>
  <c r="D155" i="11"/>
  <c r="D156" i="11"/>
  <c r="D157" i="11"/>
  <c r="D158" i="11"/>
  <c r="D159" i="11"/>
  <c r="D160" i="11"/>
  <c r="D162" i="11"/>
  <c r="D163" i="11"/>
  <c r="D164" i="11"/>
  <c r="D165" i="11"/>
  <c r="D166" i="11"/>
  <c r="D167" i="11"/>
  <c r="D168" i="11"/>
  <c r="D169" i="11"/>
  <c r="D170" i="11"/>
  <c r="D172" i="11"/>
  <c r="D173" i="11"/>
  <c r="D174" i="11"/>
  <c r="D175" i="11"/>
  <c r="D176" i="11"/>
  <c r="D177" i="11"/>
  <c r="D178" i="11"/>
  <c r="D179" i="11"/>
  <c r="D180" i="11"/>
  <c r="D182" i="11"/>
  <c r="D183" i="11"/>
  <c r="D184" i="11"/>
  <c r="D185" i="11"/>
  <c r="D186" i="11"/>
  <c r="D187" i="11"/>
  <c r="D188" i="11"/>
  <c r="D189" i="11"/>
  <c r="D190" i="11"/>
  <c r="D192" i="11"/>
  <c r="D193" i="11"/>
  <c r="D194" i="11"/>
  <c r="D195" i="11"/>
  <c r="D196" i="11"/>
  <c r="D197" i="11"/>
  <c r="D198" i="11"/>
  <c r="D199" i="11"/>
  <c r="D200" i="11"/>
  <c r="D202" i="11"/>
  <c r="D203" i="11"/>
  <c r="D204" i="11"/>
  <c r="D205" i="11"/>
  <c r="D206" i="11"/>
  <c r="D207" i="11"/>
  <c r="D208" i="11"/>
  <c r="D209" i="11"/>
  <c r="D210" i="11"/>
  <c r="D212" i="11"/>
  <c r="D213" i="11"/>
  <c r="D214" i="11"/>
  <c r="D215" i="11"/>
  <c r="D216" i="11"/>
  <c r="D217" i="11"/>
  <c r="D218" i="11"/>
  <c r="D219" i="11"/>
  <c r="D220" i="11"/>
  <c r="D222" i="11"/>
  <c r="D223" i="11"/>
  <c r="D224" i="11"/>
  <c r="D225" i="11"/>
  <c r="D226" i="11"/>
  <c r="D227" i="11"/>
  <c r="D228" i="11"/>
  <c r="D229" i="11"/>
  <c r="D230" i="11"/>
  <c r="D232" i="11"/>
  <c r="D233" i="11"/>
  <c r="D234" i="11"/>
  <c r="D235" i="11"/>
  <c r="D236" i="11"/>
  <c r="D237" i="11"/>
  <c r="D238" i="11"/>
  <c r="D239" i="11"/>
  <c r="D240" i="11"/>
  <c r="D242" i="11"/>
  <c r="D243" i="11"/>
  <c r="D244" i="11"/>
  <c r="D245" i="11"/>
  <c r="D246" i="11"/>
  <c r="D247" i="11"/>
  <c r="D248" i="11"/>
  <c r="D249" i="11"/>
  <c r="D250" i="11"/>
  <c r="D252" i="11"/>
  <c r="D253" i="11"/>
  <c r="D254" i="11"/>
  <c r="D255" i="11"/>
  <c r="D256" i="11"/>
  <c r="D257" i="11"/>
  <c r="D258" i="11"/>
  <c r="D259" i="11"/>
  <c r="D260" i="11"/>
  <c r="D262" i="11"/>
  <c r="D263" i="11"/>
  <c r="D264" i="11"/>
  <c r="D265" i="11"/>
  <c r="D266" i="11"/>
  <c r="D267" i="11"/>
  <c r="D268" i="11"/>
  <c r="D269" i="11"/>
  <c r="D270" i="11"/>
  <c r="D272" i="11"/>
  <c r="D273" i="11"/>
  <c r="D274" i="11"/>
  <c r="D275" i="11"/>
  <c r="D276" i="11"/>
  <c r="D277" i="11"/>
  <c r="D278" i="11"/>
  <c r="D279" i="11"/>
  <c r="D280" i="11"/>
  <c r="D282" i="11"/>
  <c r="D283" i="11"/>
  <c r="D284" i="11"/>
  <c r="D285" i="11"/>
  <c r="D286" i="11"/>
  <c r="D287" i="11"/>
  <c r="D288" i="11"/>
  <c r="D289" i="11"/>
  <c r="D290" i="11"/>
  <c r="D292" i="11"/>
  <c r="D293" i="11"/>
  <c r="D294" i="11"/>
  <c r="D295" i="11"/>
  <c r="D296" i="11"/>
  <c r="D297" i="11"/>
  <c r="D298" i="11"/>
  <c r="D299" i="11"/>
  <c r="D300" i="11"/>
  <c r="D302" i="11"/>
  <c r="D303" i="11"/>
  <c r="D304" i="11"/>
  <c r="D305" i="11"/>
  <c r="D306" i="11"/>
  <c r="D307" i="11"/>
  <c r="D308" i="11"/>
  <c r="D309" i="11"/>
  <c r="D310" i="11"/>
  <c r="D312" i="11"/>
  <c r="D313" i="11"/>
  <c r="D314" i="11"/>
  <c r="D315" i="11"/>
  <c r="D316" i="11"/>
  <c r="D317" i="11"/>
  <c r="D318" i="11"/>
  <c r="D319" i="11"/>
  <c r="D320" i="11"/>
  <c r="D322" i="11"/>
  <c r="D323" i="11"/>
  <c r="D324" i="11"/>
  <c r="D325" i="11"/>
  <c r="D326" i="11"/>
  <c r="D327" i="11"/>
  <c r="D328" i="11"/>
  <c r="D329" i="11"/>
  <c r="D330" i="11"/>
  <c r="D332" i="11"/>
  <c r="D333" i="11"/>
  <c r="D334" i="11"/>
  <c r="D335" i="11"/>
  <c r="D336" i="11"/>
  <c r="D337" i="11"/>
  <c r="D338" i="11"/>
  <c r="D339" i="11"/>
  <c r="D340" i="11"/>
  <c r="D342" i="11"/>
  <c r="D343" i="11"/>
  <c r="D344" i="11"/>
  <c r="D345" i="11"/>
  <c r="D346" i="11"/>
  <c r="D347" i="11"/>
  <c r="D348" i="11"/>
  <c r="D349" i="11"/>
  <c r="D350" i="11"/>
  <c r="D352" i="11"/>
  <c r="D353" i="11"/>
  <c r="D354" i="11"/>
  <c r="D355" i="11"/>
  <c r="D356" i="11"/>
  <c r="D357" i="11"/>
  <c r="D358" i="11"/>
  <c r="D359" i="11"/>
  <c r="D360" i="11"/>
  <c r="D362" i="11"/>
  <c r="D363" i="11"/>
  <c r="D364" i="11"/>
  <c r="D365" i="11"/>
  <c r="D366" i="11"/>
  <c r="D367" i="11"/>
  <c r="D368" i="11"/>
  <c r="D369" i="11"/>
  <c r="D370" i="11"/>
  <c r="D372" i="11"/>
  <c r="D373" i="11"/>
  <c r="D374" i="11"/>
  <c r="D375" i="11"/>
  <c r="D376" i="11"/>
  <c r="D377" i="11"/>
  <c r="D378" i="11"/>
  <c r="D379" i="11"/>
  <c r="D380" i="11"/>
  <c r="D382" i="11"/>
  <c r="D383" i="11"/>
  <c r="D384" i="11"/>
  <c r="D385" i="11"/>
  <c r="D386" i="11"/>
  <c r="D387" i="11"/>
  <c r="D388" i="11"/>
  <c r="D389" i="11"/>
  <c r="D390" i="11"/>
  <c r="D392" i="11"/>
  <c r="D393" i="11"/>
  <c r="D394" i="11"/>
  <c r="D395" i="11"/>
  <c r="D396" i="11"/>
  <c r="D397" i="11"/>
  <c r="D398" i="11"/>
  <c r="D399" i="11"/>
  <c r="D400" i="11"/>
  <c r="D402" i="11"/>
  <c r="D403" i="11"/>
  <c r="D404" i="11"/>
  <c r="D405" i="11"/>
  <c r="D406" i="11"/>
  <c r="D407" i="11"/>
  <c r="D408" i="11"/>
  <c r="D409" i="11"/>
  <c r="D410" i="11"/>
  <c r="D412" i="11"/>
  <c r="D413" i="11"/>
  <c r="D414" i="11"/>
  <c r="D415" i="11"/>
  <c r="D416" i="11"/>
  <c r="D417" i="11"/>
  <c r="D418" i="11"/>
  <c r="D419" i="11"/>
  <c r="D420" i="11"/>
  <c r="D422" i="11"/>
  <c r="D423" i="11"/>
  <c r="D424" i="11"/>
  <c r="D425" i="11"/>
  <c r="D426" i="11"/>
  <c r="D427" i="11"/>
  <c r="D428" i="11"/>
  <c r="D429" i="11"/>
  <c r="D430" i="11"/>
  <c r="D432" i="11"/>
  <c r="D433" i="11"/>
  <c r="D434" i="11"/>
  <c r="D435" i="11"/>
  <c r="D436" i="11"/>
  <c r="D437" i="11"/>
  <c r="D438" i="11"/>
  <c r="D439" i="11"/>
  <c r="D440" i="11"/>
  <c r="D442" i="11"/>
  <c r="D443" i="11"/>
  <c r="D444" i="11"/>
  <c r="D445" i="11"/>
  <c r="D446" i="11"/>
  <c r="D447" i="11"/>
  <c r="D448" i="11"/>
  <c r="D449" i="11"/>
  <c r="D450" i="11"/>
  <c r="D452" i="11"/>
  <c r="D453" i="11"/>
  <c r="D454" i="11"/>
  <c r="D455" i="11"/>
  <c r="D456" i="11"/>
  <c r="D457" i="11"/>
  <c r="D458" i="11"/>
  <c r="D459" i="11"/>
  <c r="D460" i="11"/>
  <c r="D462" i="11"/>
  <c r="D463" i="11"/>
  <c r="D464" i="11"/>
  <c r="D465" i="11"/>
  <c r="D466" i="11"/>
  <c r="D467" i="11"/>
  <c r="D468" i="11"/>
  <c r="D469" i="11"/>
  <c r="D470" i="11"/>
  <c r="D472" i="11"/>
  <c r="D473" i="11"/>
  <c r="D474" i="11"/>
  <c r="D475" i="11"/>
  <c r="D476" i="11"/>
  <c r="D477" i="11"/>
  <c r="D478" i="11"/>
  <c r="D479" i="11"/>
  <c r="D480" i="11"/>
  <c r="D482" i="11"/>
  <c r="D483" i="11"/>
  <c r="D484" i="11"/>
  <c r="D485" i="11"/>
  <c r="D486" i="11"/>
  <c r="D487" i="11"/>
  <c r="D488" i="11"/>
  <c r="D489" i="11"/>
  <c r="D490" i="11"/>
  <c r="D492" i="11"/>
  <c r="D493" i="11"/>
  <c r="D494" i="11"/>
  <c r="D495" i="11"/>
  <c r="D496" i="11"/>
  <c r="D497" i="11"/>
  <c r="D498" i="11"/>
  <c r="D499" i="11"/>
  <c r="D500" i="11"/>
  <c r="D502" i="11"/>
  <c r="D503" i="11"/>
  <c r="D504" i="11"/>
  <c r="D505" i="11"/>
  <c r="D506" i="11"/>
  <c r="D507" i="11"/>
  <c r="D508" i="11"/>
  <c r="D509" i="11"/>
  <c r="D510" i="11"/>
  <c r="D512" i="11"/>
  <c r="D513" i="11"/>
  <c r="D514" i="11"/>
  <c r="D515" i="11"/>
  <c r="D516" i="11"/>
  <c r="D517" i="11"/>
  <c r="D518" i="11"/>
  <c r="D519" i="11"/>
  <c r="D520" i="11"/>
  <c r="D522" i="11"/>
  <c r="D523" i="11"/>
  <c r="D524" i="11"/>
  <c r="D525" i="11"/>
  <c r="D526" i="11"/>
  <c r="D527" i="11"/>
  <c r="D528" i="11"/>
  <c r="D529" i="11"/>
  <c r="D530" i="11"/>
  <c r="D532" i="11"/>
  <c r="D533" i="11"/>
  <c r="D534" i="11"/>
  <c r="D535" i="11"/>
  <c r="D536" i="11"/>
  <c r="D537" i="11"/>
  <c r="D538" i="11"/>
  <c r="D539" i="11"/>
  <c r="D540" i="11"/>
  <c r="D542" i="11"/>
  <c r="D543" i="11"/>
  <c r="D544" i="11"/>
  <c r="D545" i="11"/>
  <c r="D546" i="11"/>
  <c r="D547" i="11"/>
  <c r="D548" i="11"/>
  <c r="D549" i="11"/>
  <c r="D550" i="11"/>
  <c r="D552" i="11"/>
  <c r="D553" i="11"/>
  <c r="D554" i="11"/>
  <c r="D555" i="11"/>
  <c r="D556" i="11"/>
  <c r="D557" i="11"/>
  <c r="D558" i="11"/>
  <c r="D559" i="11"/>
  <c r="D560" i="11"/>
  <c r="D562" i="11"/>
  <c r="D563" i="11"/>
  <c r="D564" i="11"/>
  <c r="D565" i="11"/>
  <c r="D566" i="11"/>
  <c r="D567" i="11"/>
  <c r="D568" i="11"/>
  <c r="D569" i="11"/>
  <c r="D570" i="11"/>
  <c r="D572" i="11"/>
  <c r="D573" i="11"/>
  <c r="D574" i="11"/>
  <c r="D575" i="11"/>
  <c r="D576" i="11"/>
  <c r="D577" i="11"/>
  <c r="D578" i="11"/>
  <c r="D579" i="11"/>
  <c r="D580" i="11"/>
  <c r="D582" i="11"/>
  <c r="D583" i="11"/>
  <c r="D584" i="11"/>
  <c r="D585" i="11"/>
  <c r="D586" i="11"/>
  <c r="D587" i="11"/>
  <c r="D588" i="11"/>
  <c r="D589" i="11"/>
  <c r="D590" i="11"/>
  <c r="D592" i="11"/>
  <c r="D593" i="11"/>
  <c r="D594" i="11"/>
  <c r="D595" i="11"/>
  <c r="D596" i="11"/>
  <c r="D597" i="11"/>
  <c r="D598" i="11"/>
  <c r="D599" i="11"/>
  <c r="D600" i="11"/>
  <c r="D602" i="11"/>
  <c r="D603" i="11"/>
  <c r="D604" i="11"/>
  <c r="D605" i="11"/>
  <c r="D606" i="11"/>
  <c r="D607" i="11"/>
  <c r="D608" i="11"/>
  <c r="D609" i="11"/>
  <c r="D610" i="11"/>
  <c r="D612" i="11"/>
  <c r="D613" i="11"/>
  <c r="D614" i="11"/>
  <c r="D615" i="11"/>
  <c r="D616" i="11"/>
  <c r="D617" i="11"/>
  <c r="D618" i="11"/>
  <c r="D619" i="11"/>
  <c r="D620" i="11"/>
  <c r="D622" i="11"/>
  <c r="D623" i="11"/>
  <c r="D624" i="11"/>
  <c r="D625" i="11"/>
  <c r="D626" i="11"/>
  <c r="D627" i="11"/>
  <c r="D628" i="11"/>
  <c r="D629" i="11"/>
  <c r="D630" i="11"/>
  <c r="D632" i="11"/>
  <c r="D633" i="11"/>
  <c r="D634" i="11"/>
  <c r="D635" i="11"/>
  <c r="D636" i="11"/>
  <c r="D637" i="11"/>
  <c r="D638" i="11"/>
  <c r="D639" i="11"/>
  <c r="D640" i="11"/>
  <c r="D642" i="11"/>
  <c r="D643" i="11"/>
  <c r="D644" i="11"/>
  <c r="D645" i="11"/>
  <c r="D646" i="11"/>
  <c r="D647" i="11"/>
  <c r="D648" i="11"/>
  <c r="D649" i="11"/>
  <c r="D650" i="11"/>
  <c r="D652" i="11"/>
  <c r="D653" i="11"/>
  <c r="D654" i="11"/>
  <c r="D655" i="11"/>
  <c r="D656" i="11"/>
  <c r="D657" i="11"/>
  <c r="D658" i="11"/>
  <c r="D659" i="11"/>
  <c r="D660" i="11"/>
  <c r="D662" i="11"/>
  <c r="D663" i="11"/>
  <c r="D664" i="11"/>
  <c r="D665" i="11"/>
  <c r="D666" i="11"/>
  <c r="D667" i="11"/>
  <c r="D668" i="11"/>
  <c r="D669" i="11"/>
  <c r="D670" i="11"/>
  <c r="D672" i="11"/>
  <c r="D673" i="11"/>
  <c r="D674" i="11"/>
  <c r="D675" i="11"/>
  <c r="D676" i="11"/>
  <c r="D677" i="11"/>
  <c r="D678" i="11"/>
  <c r="D679" i="11"/>
  <c r="D680" i="11"/>
  <c r="D682" i="11"/>
  <c r="D683" i="11"/>
  <c r="D684" i="11"/>
  <c r="D685" i="11"/>
  <c r="D686" i="11"/>
  <c r="D687" i="11"/>
  <c r="D688" i="11"/>
  <c r="D689" i="11"/>
  <c r="D690" i="11"/>
  <c r="D692" i="11"/>
  <c r="D693" i="11"/>
  <c r="D694" i="11"/>
  <c r="D695" i="11"/>
  <c r="D696" i="11"/>
  <c r="D697" i="11"/>
  <c r="D698" i="11"/>
  <c r="D699" i="11"/>
  <c r="D700" i="11"/>
  <c r="D702" i="11"/>
  <c r="D703" i="11"/>
  <c r="D704" i="11"/>
  <c r="D705" i="11"/>
  <c r="D706" i="11"/>
  <c r="D707" i="11"/>
  <c r="D708" i="11"/>
  <c r="D709" i="11"/>
  <c r="D710" i="11"/>
  <c r="D712" i="11"/>
  <c r="D713" i="11"/>
  <c r="D714" i="11"/>
  <c r="D715" i="11"/>
  <c r="D716" i="11"/>
  <c r="D717" i="11"/>
  <c r="D718" i="11"/>
  <c r="D719" i="11"/>
  <c r="D720" i="11"/>
  <c r="D722" i="11"/>
  <c r="D723" i="11"/>
  <c r="D724" i="11"/>
  <c r="D725" i="11"/>
  <c r="D726" i="11"/>
  <c r="D727" i="11"/>
  <c r="D728" i="11"/>
  <c r="D729" i="11"/>
  <c r="D730" i="11"/>
  <c r="D732" i="11"/>
  <c r="D733" i="11"/>
  <c r="D734" i="11"/>
  <c r="D735" i="11"/>
  <c r="D736" i="11"/>
  <c r="D737" i="11"/>
  <c r="D738" i="11"/>
  <c r="D739" i="11"/>
  <c r="D740" i="11"/>
  <c r="D10" i="11"/>
  <c r="D9" i="11"/>
  <c r="D8" i="11"/>
  <c r="D7" i="11"/>
  <c r="D6" i="11"/>
  <c r="D5" i="11"/>
  <c r="D4" i="11"/>
  <c r="D3" i="11"/>
  <c r="BT8" i="5"/>
  <c r="BU8" i="5" s="1"/>
  <c r="BT31" i="5"/>
  <c r="BU31" i="5" s="1"/>
  <c r="BT47" i="5"/>
  <c r="BU47" i="5" s="1"/>
  <c r="BV3" i="5"/>
  <c r="BV4" i="5"/>
  <c r="BV5" i="5"/>
  <c r="BV6" i="5"/>
  <c r="BV7" i="5"/>
  <c r="BV8" i="5"/>
  <c r="BV9" i="5"/>
  <c r="BV10" i="5"/>
  <c r="BV11" i="5"/>
  <c r="BV12" i="5"/>
  <c r="BV13" i="5"/>
  <c r="BV14" i="5"/>
  <c r="BV15" i="5"/>
  <c r="BV16" i="5"/>
  <c r="BV17" i="5"/>
  <c r="BV18" i="5"/>
  <c r="BV19" i="5"/>
  <c r="BV20" i="5"/>
  <c r="BV21" i="5"/>
  <c r="BV22" i="5"/>
  <c r="BV23" i="5"/>
  <c r="BV24" i="5"/>
  <c r="BV25" i="5"/>
  <c r="BV26" i="5"/>
  <c r="BV27" i="5"/>
  <c r="BV28" i="5"/>
  <c r="BV29" i="5"/>
  <c r="BV30" i="5"/>
  <c r="BV31" i="5"/>
  <c r="BV32" i="5"/>
  <c r="BV33" i="5"/>
  <c r="BV34" i="5"/>
  <c r="BV35" i="5"/>
  <c r="BV36" i="5"/>
  <c r="BV37" i="5"/>
  <c r="BV38" i="5"/>
  <c r="BV39" i="5"/>
  <c r="BV40" i="5"/>
  <c r="BV41" i="5"/>
  <c r="BV42" i="5"/>
  <c r="BV43" i="5"/>
  <c r="BV44" i="5"/>
  <c r="BV45" i="5"/>
  <c r="BV46" i="5"/>
  <c r="BV47" i="5"/>
  <c r="BV48" i="5"/>
  <c r="BV49" i="5"/>
  <c r="BV50" i="5"/>
  <c r="BV51" i="5"/>
  <c r="BV52" i="5"/>
  <c r="BV53" i="5"/>
  <c r="BV54" i="5"/>
  <c r="BV55" i="5"/>
  <c r="BV56" i="5"/>
  <c r="BV57" i="5"/>
  <c r="BV58" i="5"/>
  <c r="BV59" i="5"/>
  <c r="BV60" i="5"/>
  <c r="BV61" i="5"/>
  <c r="BV62" i="5"/>
  <c r="BV63" i="5"/>
  <c r="BV64" i="5"/>
  <c r="BV65" i="5"/>
  <c r="BV66" i="5"/>
  <c r="BV67" i="5"/>
  <c r="BV68" i="5"/>
  <c r="BV69" i="5"/>
  <c r="BV70" i="5"/>
  <c r="BV71" i="5"/>
  <c r="BV72" i="5"/>
  <c r="BV73" i="5"/>
  <c r="BV74" i="5"/>
  <c r="BV75" i="5"/>
  <c r="BV76" i="5"/>
  <c r="BV77" i="5"/>
  <c r="BV78" i="5"/>
  <c r="BV79" i="5"/>
  <c r="BV80" i="5"/>
  <c r="BV81" i="5"/>
  <c r="BV82" i="5"/>
  <c r="BV83" i="5"/>
  <c r="BV84" i="5"/>
  <c r="BW3" i="5"/>
  <c r="BW4" i="5"/>
  <c r="BW5" i="5"/>
  <c r="BW6" i="5"/>
  <c r="BW7" i="5"/>
  <c r="BW8" i="5"/>
  <c r="BW9" i="5"/>
  <c r="BW10" i="5"/>
  <c r="BW11" i="5"/>
  <c r="BW12" i="5"/>
  <c r="BW13" i="5"/>
  <c r="BW14" i="5"/>
  <c r="BW15" i="5"/>
  <c r="BW16" i="5"/>
  <c r="BW17" i="5"/>
  <c r="BW18" i="5"/>
  <c r="BW19" i="5"/>
  <c r="BW20" i="5"/>
  <c r="BW21" i="5"/>
  <c r="BW22" i="5"/>
  <c r="BW23" i="5"/>
  <c r="BW24" i="5"/>
  <c r="BW25" i="5"/>
  <c r="BW26" i="5"/>
  <c r="BW27" i="5"/>
  <c r="BW28" i="5"/>
  <c r="BW29" i="5"/>
  <c r="BW30" i="5"/>
  <c r="BW31" i="5"/>
  <c r="BW32" i="5"/>
  <c r="BW33" i="5"/>
  <c r="BW34" i="5"/>
  <c r="BW35" i="5"/>
  <c r="BW36" i="5"/>
  <c r="BW37" i="5"/>
  <c r="BW38" i="5"/>
  <c r="BW39" i="5"/>
  <c r="BW40" i="5"/>
  <c r="BW41" i="5"/>
  <c r="BW42" i="5"/>
  <c r="BW43" i="5"/>
  <c r="BW44" i="5"/>
  <c r="BW45" i="5"/>
  <c r="BW46" i="5"/>
  <c r="BW47" i="5"/>
  <c r="BW48" i="5"/>
  <c r="BW49" i="5"/>
  <c r="BW50" i="5"/>
  <c r="BW51" i="5"/>
  <c r="BW52" i="5"/>
  <c r="BW53" i="5"/>
  <c r="BW54" i="5"/>
  <c r="BW55" i="5"/>
  <c r="BW56" i="5"/>
  <c r="BW57" i="5"/>
  <c r="BW58" i="5"/>
  <c r="BW59" i="5"/>
  <c r="BW60" i="5"/>
  <c r="BW61" i="5"/>
  <c r="BW62" i="5"/>
  <c r="BW63" i="5"/>
  <c r="BW64" i="5"/>
  <c r="BW65" i="5"/>
  <c r="BW66" i="5"/>
  <c r="BW67" i="5"/>
  <c r="BW68" i="5"/>
  <c r="BW69" i="5"/>
  <c r="BW70" i="5"/>
  <c r="BW71" i="5"/>
  <c r="BW72" i="5"/>
  <c r="BW73" i="5"/>
  <c r="BW74" i="5"/>
  <c r="BW75" i="5"/>
  <c r="BW76" i="5"/>
  <c r="BW77" i="5"/>
  <c r="BW78" i="5"/>
  <c r="BW79" i="5"/>
  <c r="BW80" i="5"/>
  <c r="BW81" i="5"/>
  <c r="BW82" i="5"/>
  <c r="BW83" i="5"/>
  <c r="BW84" i="5"/>
  <c r="W3" i="5"/>
  <c r="BX3" i="5"/>
  <c r="BT3" i="5" s="1"/>
  <c r="BU3" i="5" s="1"/>
  <c r="BX4" i="5"/>
  <c r="BT4" i="5" s="1"/>
  <c r="BU4" i="5" s="1"/>
  <c r="BX5" i="5"/>
  <c r="BT5" i="5" s="1"/>
  <c r="BU5" i="5" s="1"/>
  <c r="BX6" i="5"/>
  <c r="BT6" i="5" s="1"/>
  <c r="BU6" i="5" s="1"/>
  <c r="BX7" i="5"/>
  <c r="BT7" i="5" s="1"/>
  <c r="BU7" i="5" s="1"/>
  <c r="BX8" i="5"/>
  <c r="BX9" i="5"/>
  <c r="BT9" i="5" s="1"/>
  <c r="BU9" i="5" s="1"/>
  <c r="BX10" i="5"/>
  <c r="BT10" i="5" s="1"/>
  <c r="BU10" i="5" s="1"/>
  <c r="BX11" i="5"/>
  <c r="BT11" i="5" s="1"/>
  <c r="BU11" i="5" s="1"/>
  <c r="BX12" i="5"/>
  <c r="BT12" i="5" s="1"/>
  <c r="BU12" i="5" s="1"/>
  <c r="BX13" i="5"/>
  <c r="BT13" i="5" s="1"/>
  <c r="BU13" i="5" s="1"/>
  <c r="BX14" i="5"/>
  <c r="BT14" i="5" s="1"/>
  <c r="BU14" i="5" s="1"/>
  <c r="BX15" i="5"/>
  <c r="BT15" i="5" s="1"/>
  <c r="BU15" i="5" s="1"/>
  <c r="BX16" i="5"/>
  <c r="BT16" i="5" s="1"/>
  <c r="BU16" i="5" s="1"/>
  <c r="BX17" i="5"/>
  <c r="BT17" i="5" s="1"/>
  <c r="BU17" i="5" s="1"/>
  <c r="BX18" i="5"/>
  <c r="BT18" i="5" s="1"/>
  <c r="BU18" i="5" s="1"/>
  <c r="BX19" i="5"/>
  <c r="BT19" i="5" s="1"/>
  <c r="BU19" i="5" s="1"/>
  <c r="BX20" i="5"/>
  <c r="BT20" i="5" s="1"/>
  <c r="BU20" i="5" s="1"/>
  <c r="BX21" i="5"/>
  <c r="BT21" i="5" s="1"/>
  <c r="BU21" i="5" s="1"/>
  <c r="BX22" i="5"/>
  <c r="BT22" i="5" s="1"/>
  <c r="BU22" i="5" s="1"/>
  <c r="BX23" i="5"/>
  <c r="BT23" i="5" s="1"/>
  <c r="BU23" i="5" s="1"/>
  <c r="BX24" i="5"/>
  <c r="BT24" i="5" s="1"/>
  <c r="BU24" i="5" s="1"/>
  <c r="BX25" i="5"/>
  <c r="BT25" i="5" s="1"/>
  <c r="BU25" i="5" s="1"/>
  <c r="BX26" i="5"/>
  <c r="BT26" i="5" s="1"/>
  <c r="BU26" i="5" s="1"/>
  <c r="BX27" i="5"/>
  <c r="BT27" i="5" s="1"/>
  <c r="BU27" i="5" s="1"/>
  <c r="BX28" i="5"/>
  <c r="BT28" i="5" s="1"/>
  <c r="BU28" i="5" s="1"/>
  <c r="BX29" i="5"/>
  <c r="BT29" i="5" s="1"/>
  <c r="BU29" i="5" s="1"/>
  <c r="BX30" i="5"/>
  <c r="BT30" i="5" s="1"/>
  <c r="BU30" i="5" s="1"/>
  <c r="BX31" i="5"/>
  <c r="BX32" i="5"/>
  <c r="BT32" i="5" s="1"/>
  <c r="BU32" i="5" s="1"/>
  <c r="BX33" i="5"/>
  <c r="BT33" i="5" s="1"/>
  <c r="BU33" i="5" s="1"/>
  <c r="BX34" i="5"/>
  <c r="BT34" i="5" s="1"/>
  <c r="BU34" i="5" s="1"/>
  <c r="BX35" i="5"/>
  <c r="BT35" i="5" s="1"/>
  <c r="BU35" i="5" s="1"/>
  <c r="BX36" i="5"/>
  <c r="BT36" i="5" s="1"/>
  <c r="BU36" i="5" s="1"/>
  <c r="BX37" i="5"/>
  <c r="BT37" i="5" s="1"/>
  <c r="BU37" i="5" s="1"/>
  <c r="BX38" i="5"/>
  <c r="BT38" i="5" s="1"/>
  <c r="BU38" i="5" s="1"/>
  <c r="BX39" i="5"/>
  <c r="BT39" i="5" s="1"/>
  <c r="BU39" i="5" s="1"/>
  <c r="BX40" i="5"/>
  <c r="BT40" i="5" s="1"/>
  <c r="BU40" i="5" s="1"/>
  <c r="BX41" i="5"/>
  <c r="BT41" i="5" s="1"/>
  <c r="BU41" i="5" s="1"/>
  <c r="BX42" i="5"/>
  <c r="BT42" i="5" s="1"/>
  <c r="BU42" i="5" s="1"/>
  <c r="BX43" i="5"/>
  <c r="BT43" i="5" s="1"/>
  <c r="BU43" i="5" s="1"/>
  <c r="BX44" i="5"/>
  <c r="BT44" i="5" s="1"/>
  <c r="BU44" i="5" s="1"/>
  <c r="BX45" i="5"/>
  <c r="BT45" i="5" s="1"/>
  <c r="BU45" i="5" s="1"/>
  <c r="BX46" i="5"/>
  <c r="BT46" i="5" s="1"/>
  <c r="BU46" i="5" s="1"/>
  <c r="BX47" i="5"/>
  <c r="BX48" i="5"/>
  <c r="BT48" i="5" s="1"/>
  <c r="BU48" i="5" s="1"/>
  <c r="BX49" i="5"/>
  <c r="BT49" i="5" s="1"/>
  <c r="BU49" i="5" s="1"/>
  <c r="BX50" i="5"/>
  <c r="BT50" i="5" s="1"/>
  <c r="BU50" i="5" s="1"/>
  <c r="BX51" i="5"/>
  <c r="BT51" i="5" s="1"/>
  <c r="BU51" i="5" s="1"/>
  <c r="BX52" i="5"/>
  <c r="BT52" i="5" s="1"/>
  <c r="BU52" i="5" s="1"/>
  <c r="BX53" i="5"/>
  <c r="BT53" i="5" s="1"/>
  <c r="BU53" i="5" s="1"/>
  <c r="BX54" i="5"/>
  <c r="BT54" i="5" s="1"/>
  <c r="BU54" i="5" s="1"/>
  <c r="BX55" i="5"/>
  <c r="BT55" i="5" s="1"/>
  <c r="BU55" i="5" s="1"/>
  <c r="BX56" i="5"/>
  <c r="BT56" i="5" s="1"/>
  <c r="BU56" i="5" s="1"/>
  <c r="BX57" i="5"/>
  <c r="BT57" i="5" s="1"/>
  <c r="BU57" i="5" s="1"/>
  <c r="BX58" i="5"/>
  <c r="BT58" i="5" s="1"/>
  <c r="BU58" i="5" s="1"/>
  <c r="BX59" i="5"/>
  <c r="BT59" i="5" s="1"/>
  <c r="BU59" i="5" s="1"/>
  <c r="BX60" i="5"/>
  <c r="BT60" i="5" s="1"/>
  <c r="BU60" i="5" s="1"/>
  <c r="BX61" i="5"/>
  <c r="BT61" i="5" s="1"/>
  <c r="BU61" i="5" s="1"/>
  <c r="BX62" i="5"/>
  <c r="BT62" i="5" s="1"/>
  <c r="BU62" i="5" s="1"/>
  <c r="BX63" i="5"/>
  <c r="BT63" i="5" s="1"/>
  <c r="BU63" i="5" s="1"/>
  <c r="BX64" i="5"/>
  <c r="BT64" i="5" s="1"/>
  <c r="BU64" i="5" s="1"/>
  <c r="BX65" i="5"/>
  <c r="BT65" i="5" s="1"/>
  <c r="BU65" i="5" s="1"/>
  <c r="BX66" i="5"/>
  <c r="BT66" i="5" s="1"/>
  <c r="BU66" i="5" s="1"/>
  <c r="BX67" i="5"/>
  <c r="BT67" i="5" s="1"/>
  <c r="BU67" i="5" s="1"/>
  <c r="BX68" i="5"/>
  <c r="BT68" i="5" s="1"/>
  <c r="BU68" i="5" s="1"/>
  <c r="BX69" i="5"/>
  <c r="BT69" i="5" s="1"/>
  <c r="BU69" i="5" s="1"/>
  <c r="BX70" i="5"/>
  <c r="BT70" i="5" s="1"/>
  <c r="BU70" i="5" s="1"/>
  <c r="BX71" i="5"/>
  <c r="BT71" i="5" s="1"/>
  <c r="BU71" i="5" s="1"/>
  <c r="BX72" i="5"/>
  <c r="BT72" i="5" s="1"/>
  <c r="BU72" i="5" s="1"/>
  <c r="BX73" i="5"/>
  <c r="BT73" i="5" s="1"/>
  <c r="BU73" i="5" s="1"/>
  <c r="BX74" i="5"/>
  <c r="BT74" i="5" s="1"/>
  <c r="BU74" i="5" s="1"/>
  <c r="BX75" i="5"/>
  <c r="BT75" i="5" s="1"/>
  <c r="BU75" i="5" s="1"/>
  <c r="BX76" i="5"/>
  <c r="BT76" i="5" s="1"/>
  <c r="BU76" i="5" s="1"/>
  <c r="BX77" i="5"/>
  <c r="BT77" i="5" s="1"/>
  <c r="BU77" i="5" s="1"/>
  <c r="BX78" i="5"/>
  <c r="BT78" i="5" s="1"/>
  <c r="BU78" i="5" s="1"/>
  <c r="BX79" i="5"/>
  <c r="BT79" i="5" s="1"/>
  <c r="BU79" i="5" s="1"/>
  <c r="BX80" i="5"/>
  <c r="BT80" i="5" s="1"/>
  <c r="BU80" i="5" s="1"/>
  <c r="BX81" i="5"/>
  <c r="BT81" i="5" s="1"/>
  <c r="BU81" i="5" s="1"/>
  <c r="BX82" i="5"/>
  <c r="BT82" i="5" s="1"/>
  <c r="BU82" i="5" s="1"/>
  <c r="BX83" i="5"/>
  <c r="BT83" i="5" s="1"/>
  <c r="BU83" i="5" s="1"/>
  <c r="BX84" i="5"/>
  <c r="BT84" i="5" s="1"/>
  <c r="BU84" i="5" s="1"/>
  <c r="D731" i="11" l="1"/>
  <c r="D711" i="11"/>
  <c r="D691" i="11"/>
  <c r="D671" i="11"/>
  <c r="D651" i="11"/>
  <c r="D631" i="11"/>
  <c r="D611" i="11"/>
  <c r="D591" i="11"/>
  <c r="D571" i="11"/>
  <c r="D551" i="11"/>
  <c r="D531" i="11"/>
  <c r="D511" i="11"/>
  <c r="D491" i="11"/>
  <c r="D471" i="11"/>
  <c r="D451" i="11"/>
  <c r="D431" i="11"/>
  <c r="D411" i="11"/>
  <c r="D391" i="11"/>
  <c r="D371" i="11"/>
  <c r="D351" i="11"/>
  <c r="D331" i="11"/>
  <c r="D311" i="11"/>
  <c r="D291" i="11"/>
  <c r="D271" i="11"/>
  <c r="D251" i="11"/>
  <c r="D231" i="11"/>
  <c r="D211" i="11"/>
  <c r="D191" i="11"/>
  <c r="D171" i="11"/>
  <c r="D151" i="11"/>
  <c r="D131" i="11"/>
  <c r="D111" i="11"/>
  <c r="D91" i="11"/>
  <c r="D71" i="11"/>
  <c r="D51" i="11"/>
  <c r="D31" i="11"/>
  <c r="D11" i="11"/>
  <c r="D751" i="11"/>
  <c r="D771" i="11"/>
  <c r="D791" i="11"/>
  <c r="D811" i="11"/>
  <c r="D741" i="11"/>
  <c r="D721" i="11"/>
  <c r="D701" i="11"/>
  <c r="D681" i="11"/>
  <c r="D661" i="11"/>
  <c r="D641" i="11"/>
  <c r="D621" i="11"/>
  <c r="D601" i="11"/>
  <c r="D581" i="11"/>
  <c r="D561" i="11"/>
  <c r="D541" i="11"/>
  <c r="D521" i="11"/>
  <c r="D501" i="11"/>
  <c r="D481" i="11"/>
  <c r="D461" i="11"/>
  <c r="D441" i="11"/>
  <c r="D421" i="11"/>
  <c r="D401" i="11"/>
  <c r="D381" i="11"/>
  <c r="D361" i="11"/>
  <c r="D341" i="11"/>
  <c r="D321" i="11"/>
  <c r="D301" i="11"/>
  <c r="D281" i="11"/>
  <c r="D261" i="11"/>
  <c r="D241" i="11"/>
  <c r="D221" i="11"/>
  <c r="D201" i="11"/>
  <c r="D181" i="11"/>
  <c r="D161" i="11"/>
  <c r="D141" i="11"/>
  <c r="D121" i="11"/>
  <c r="D101" i="11"/>
  <c r="D81" i="11"/>
  <c r="D61" i="11"/>
  <c r="D41" i="11"/>
  <c r="D21" i="11"/>
  <c r="D761" i="11"/>
  <c r="D781" i="11"/>
  <c r="D801" i="11"/>
  <c r="D821" i="11"/>
  <c r="BY77" i="5"/>
  <c r="BY73" i="5"/>
  <c r="BY65" i="5"/>
  <c r="BY49" i="5"/>
  <c r="BY41" i="5"/>
  <c r="BY33" i="5"/>
  <c r="BY31" i="5"/>
  <c r="BY82" i="5"/>
  <c r="BY78" i="5"/>
  <c r="BY74" i="5"/>
  <c r="BY70" i="5"/>
  <c r="BY66" i="5"/>
  <c r="BY62" i="5"/>
  <c r="BY58" i="5"/>
  <c r="BY54" i="5"/>
  <c r="BY50" i="5"/>
  <c r="BY46" i="5"/>
  <c r="BY42" i="5"/>
  <c r="BY38" i="5"/>
  <c r="BY34" i="5"/>
  <c r="BY30" i="5"/>
  <c r="BY26" i="5"/>
  <c r="BY22" i="5"/>
  <c r="BY18" i="5"/>
  <c r="BY14" i="5"/>
  <c r="BY10" i="5"/>
  <c r="BY6" i="5"/>
  <c r="BY21" i="5"/>
  <c r="BY13" i="5"/>
  <c r="BY5" i="5"/>
  <c r="BY81" i="5"/>
  <c r="BY8" i="5"/>
  <c r="BY80" i="5"/>
  <c r="BY72" i="5"/>
  <c r="BY64" i="5"/>
  <c r="BY56" i="5"/>
  <c r="BY44" i="5"/>
  <c r="BY36" i="5"/>
  <c r="BY28" i="5"/>
  <c r="BY20" i="5"/>
  <c r="BY12" i="5"/>
  <c r="BY84" i="5"/>
  <c r="BY76" i="5"/>
  <c r="BY68" i="5"/>
  <c r="BY60" i="5"/>
  <c r="BY52" i="5"/>
  <c r="BY48" i="5"/>
  <c r="BY40" i="5"/>
  <c r="BY32" i="5"/>
  <c r="BY24" i="5"/>
  <c r="BY16" i="5"/>
  <c r="BY4" i="5"/>
  <c r="BY47" i="5"/>
  <c r="BY69" i="5"/>
  <c r="BY57" i="5"/>
  <c r="BY29" i="5"/>
  <c r="BY79" i="5"/>
  <c r="BY71" i="5"/>
  <c r="BY63" i="5"/>
  <c r="BY51" i="5"/>
  <c r="BY39" i="5"/>
  <c r="BY35" i="5"/>
  <c r="BY27" i="5"/>
  <c r="BY23" i="5"/>
  <c r="BY19" i="5"/>
  <c r="BY15" i="5"/>
  <c r="BY11" i="5"/>
  <c r="BY7" i="5"/>
  <c r="BY3" i="5"/>
  <c r="BY83" i="5"/>
  <c r="BY75" i="5"/>
  <c r="BY67" i="5"/>
  <c r="BY55" i="5"/>
  <c r="BY59" i="5"/>
  <c r="BY43" i="5"/>
  <c r="BY61" i="5"/>
  <c r="BY53" i="5"/>
  <c r="BY25" i="5"/>
  <c r="BY17" i="5"/>
  <c r="BY9" i="5"/>
  <c r="BY45" i="5"/>
  <c r="BY37" i="5"/>
  <c r="G8" i="5"/>
  <c r="H8" i="5"/>
  <c r="F8" i="5" s="1"/>
  <c r="O8" i="5"/>
  <c r="P8" i="5"/>
  <c r="N8" i="5" s="1"/>
  <c r="W8" i="5"/>
  <c r="X8" i="5"/>
  <c r="V8" i="5" s="1"/>
  <c r="AE8" i="5"/>
  <c r="AF8" i="5"/>
  <c r="AD8" i="5" s="1"/>
  <c r="AM8" i="5"/>
  <c r="AN8" i="5"/>
  <c r="AL8" i="5" s="1"/>
  <c r="AU8" i="5"/>
  <c r="AV8" i="5"/>
  <c r="AT8" i="5" s="1"/>
  <c r="BC8" i="5"/>
  <c r="BD8" i="5"/>
  <c r="BB8" i="5" s="1"/>
  <c r="BI8" i="5"/>
  <c r="BJ8" i="5"/>
  <c r="BM8" i="5"/>
  <c r="BN8" i="5"/>
  <c r="BQ8" i="5"/>
  <c r="G50" i="5"/>
  <c r="H50" i="5"/>
  <c r="F50" i="5" s="1"/>
  <c r="O50" i="5"/>
  <c r="P50" i="5"/>
  <c r="N50" i="5" s="1"/>
  <c r="W50" i="5"/>
  <c r="X50" i="5"/>
  <c r="V50" i="5" s="1"/>
  <c r="AE50" i="5"/>
  <c r="AF50" i="5"/>
  <c r="AD50" i="5" s="1"/>
  <c r="AM50" i="5"/>
  <c r="AN50" i="5"/>
  <c r="AL50" i="5" s="1"/>
  <c r="AU50" i="5"/>
  <c r="AV50" i="5"/>
  <c r="AT50" i="5" s="1"/>
  <c r="BC50" i="5"/>
  <c r="BD50" i="5"/>
  <c r="BB50" i="5" s="1"/>
  <c r="BI50" i="5"/>
  <c r="BJ50" i="5"/>
  <c r="BM50" i="5"/>
  <c r="BN50" i="5"/>
  <c r="BQ50" i="5"/>
  <c r="BE50" i="5" l="1"/>
  <c r="Y8" i="5"/>
  <c r="I8" i="5"/>
  <c r="AW8" i="5"/>
  <c r="AG8" i="5"/>
  <c r="Q8" i="5"/>
  <c r="Y50" i="5"/>
  <c r="I50" i="5"/>
  <c r="BO8" i="5"/>
  <c r="BE8" i="5"/>
  <c r="AO8" i="5"/>
  <c r="AG50" i="5"/>
  <c r="Q50" i="5"/>
  <c r="BO50" i="5"/>
  <c r="AW50" i="5"/>
  <c r="AO50" i="5"/>
  <c r="BZ8" i="5" l="1"/>
  <c r="BZ50" i="5"/>
  <c r="CC8" i="5" l="1"/>
  <c r="CB8" i="5"/>
  <c r="CB50" i="5"/>
  <c r="CC50" i="5"/>
  <c r="B26" i="4"/>
  <c r="BD3" i="5" l="1"/>
  <c r="BB3" i="5" s="1"/>
  <c r="BD4" i="5"/>
  <c r="BB4" i="5" s="1"/>
  <c r="BD5" i="5"/>
  <c r="BD6" i="5"/>
  <c r="BD7" i="5"/>
  <c r="BD9" i="5"/>
  <c r="BB9" i="5" s="1"/>
  <c r="BD10" i="5"/>
  <c r="BB10" i="5" s="1"/>
  <c r="BD11" i="5"/>
  <c r="BB11" i="5" s="1"/>
  <c r="BD12" i="5"/>
  <c r="BD13" i="5"/>
  <c r="BB13" i="5" s="1"/>
  <c r="BD14" i="5"/>
  <c r="BB14" i="5" s="1"/>
  <c r="BD15" i="5"/>
  <c r="BB15" i="5" s="1"/>
  <c r="BD16" i="5"/>
  <c r="BD17" i="5"/>
  <c r="BB17" i="5" s="1"/>
  <c r="BD18" i="5"/>
  <c r="BB18" i="5" s="1"/>
  <c r="BD19" i="5"/>
  <c r="BB19" i="5" s="1"/>
  <c r="BD20" i="5"/>
  <c r="BB20" i="5" s="1"/>
  <c r="BD21" i="5"/>
  <c r="BB21" i="5" s="1"/>
  <c r="BD22" i="5"/>
  <c r="BB22" i="5" s="1"/>
  <c r="BD24" i="5"/>
  <c r="BB24" i="5" s="1"/>
  <c r="BD23" i="5"/>
  <c r="BD25" i="5"/>
  <c r="BB25" i="5" s="1"/>
  <c r="BD31" i="5"/>
  <c r="BB31" i="5" s="1"/>
  <c r="BD26" i="5"/>
  <c r="BB26" i="5" s="1"/>
  <c r="BD27" i="5"/>
  <c r="BB27" i="5" s="1"/>
  <c r="BD28" i="5"/>
  <c r="BB28" i="5" s="1"/>
  <c r="BD29" i="5"/>
  <c r="BB29" i="5" s="1"/>
  <c r="BD30" i="5"/>
  <c r="BB30" i="5" s="1"/>
  <c r="BD32" i="5"/>
  <c r="BB32" i="5" s="1"/>
  <c r="BD33" i="5"/>
  <c r="BB33" i="5" s="1"/>
  <c r="BD34" i="5"/>
  <c r="BB34" i="5" s="1"/>
  <c r="BD36" i="5"/>
  <c r="BB36" i="5" s="1"/>
  <c r="BD37" i="5"/>
  <c r="BD38" i="5"/>
  <c r="BB38" i="5" s="1"/>
  <c r="BD39" i="5"/>
  <c r="BD40" i="5"/>
  <c r="BB40" i="5" s="1"/>
  <c r="BD41" i="5"/>
  <c r="BB41" i="5" s="1"/>
  <c r="BD42" i="5"/>
  <c r="BB42" i="5" s="1"/>
  <c r="BD43" i="5"/>
  <c r="BB43" i="5" s="1"/>
  <c r="BD44" i="5"/>
  <c r="BB44" i="5" s="1"/>
  <c r="BD45" i="5"/>
  <c r="BB45" i="5" s="1"/>
  <c r="BD46" i="5"/>
  <c r="BB46" i="5" s="1"/>
  <c r="BD47" i="5"/>
  <c r="BB47" i="5" s="1"/>
  <c r="BD48" i="5"/>
  <c r="BB48" i="5" s="1"/>
  <c r="BD49" i="5"/>
  <c r="BB49" i="5" s="1"/>
  <c r="BD51" i="5"/>
  <c r="BB51" i="5" s="1"/>
  <c r="BD52" i="5"/>
  <c r="BB52" i="5" s="1"/>
  <c r="BD53" i="5"/>
  <c r="BB53" i="5" s="1"/>
  <c r="BD54" i="5"/>
  <c r="BB54" i="5" s="1"/>
  <c r="BD35" i="5"/>
  <c r="BB35" i="5" s="1"/>
  <c r="BD55" i="5"/>
  <c r="BB55" i="5" s="1"/>
  <c r="BD56" i="5"/>
  <c r="BB56" i="5" s="1"/>
  <c r="BD57" i="5"/>
  <c r="BB57" i="5" s="1"/>
  <c r="BD58" i="5"/>
  <c r="BB58" i="5" s="1"/>
  <c r="BD59" i="5"/>
  <c r="BB59" i="5" s="1"/>
  <c r="BD60" i="5"/>
  <c r="BB60" i="5" s="1"/>
  <c r="BD61" i="5"/>
  <c r="BB61" i="5" s="1"/>
  <c r="BD62" i="5"/>
  <c r="BB62" i="5" s="1"/>
  <c r="BD64" i="5"/>
  <c r="BB64" i="5" s="1"/>
  <c r="BD63" i="5"/>
  <c r="BB63" i="5" s="1"/>
  <c r="BD65" i="5"/>
  <c r="BD66" i="5"/>
  <c r="BB66" i="5" s="1"/>
  <c r="BD67" i="5"/>
  <c r="BB67" i="5" s="1"/>
  <c r="BD68" i="5"/>
  <c r="BB68" i="5" s="1"/>
  <c r="BD69" i="5"/>
  <c r="BB69" i="5" s="1"/>
  <c r="BD70" i="5"/>
  <c r="BB70" i="5" s="1"/>
  <c r="BD71" i="5"/>
  <c r="BB71" i="5" s="1"/>
  <c r="BD72" i="5"/>
  <c r="BB72" i="5" s="1"/>
  <c r="BD73" i="5"/>
  <c r="BB73" i="5" s="1"/>
  <c r="BD74" i="5"/>
  <c r="BB74" i="5" s="1"/>
  <c r="BD75" i="5"/>
  <c r="BB75" i="5" s="1"/>
  <c r="BD77" i="5"/>
  <c r="BB77" i="5" s="1"/>
  <c r="BD78" i="5"/>
  <c r="BB78" i="5" s="1"/>
  <c r="BD76" i="5"/>
  <c r="BB76" i="5" s="1"/>
  <c r="BD79" i="5"/>
  <c r="BB79" i="5" s="1"/>
  <c r="BD80" i="5"/>
  <c r="BB80" i="5" s="1"/>
  <c r="BD81" i="5"/>
  <c r="BB81" i="5" s="1"/>
  <c r="BD82" i="5"/>
  <c r="BB82" i="5" s="1"/>
  <c r="BD83" i="5"/>
  <c r="BB83" i="5" s="1"/>
  <c r="BD84" i="5"/>
  <c r="BB84" i="5" s="1"/>
  <c r="AV3" i="5"/>
  <c r="AT3" i="5" s="1"/>
  <c r="AV4" i="5"/>
  <c r="AV5" i="5"/>
  <c r="AT5" i="5" s="1"/>
  <c r="AV6" i="5"/>
  <c r="AT6" i="5" s="1"/>
  <c r="AV7" i="5"/>
  <c r="AV9" i="5"/>
  <c r="AV10" i="5"/>
  <c r="AT10" i="5" s="1"/>
  <c r="AV11" i="5"/>
  <c r="AT11" i="5" s="1"/>
  <c r="AV12" i="5"/>
  <c r="AV13" i="5"/>
  <c r="AV14" i="5"/>
  <c r="AT14" i="5" s="1"/>
  <c r="AV15" i="5"/>
  <c r="AT15" i="5" s="1"/>
  <c r="AV16" i="5"/>
  <c r="AV17" i="5"/>
  <c r="AT17" i="5" s="1"/>
  <c r="AV18" i="5"/>
  <c r="AT18" i="5" s="1"/>
  <c r="AV19" i="5"/>
  <c r="AT19" i="5" s="1"/>
  <c r="AV20" i="5"/>
  <c r="AT20" i="5" s="1"/>
  <c r="AV21" i="5"/>
  <c r="AV22" i="5"/>
  <c r="AT22" i="5" s="1"/>
  <c r="AV24" i="5"/>
  <c r="AT24" i="5" s="1"/>
  <c r="AV23" i="5"/>
  <c r="AV25" i="5"/>
  <c r="AT25" i="5" s="1"/>
  <c r="AV31" i="5"/>
  <c r="AT31" i="5" s="1"/>
  <c r="AV26" i="5"/>
  <c r="AT26" i="5" s="1"/>
  <c r="AV27" i="5"/>
  <c r="AV28" i="5"/>
  <c r="AV29" i="5"/>
  <c r="AT29" i="5" s="1"/>
  <c r="AV30" i="5"/>
  <c r="AT30" i="5" s="1"/>
  <c r="AV32" i="5"/>
  <c r="AT32" i="5" s="1"/>
  <c r="AV33" i="5"/>
  <c r="AT33" i="5" s="1"/>
  <c r="AV34" i="5"/>
  <c r="AT34" i="5" s="1"/>
  <c r="AV36" i="5"/>
  <c r="AT36" i="5" s="1"/>
  <c r="AV37" i="5"/>
  <c r="AV38" i="5"/>
  <c r="AV39" i="5"/>
  <c r="AT39" i="5" s="1"/>
  <c r="AV40" i="5"/>
  <c r="AT40" i="5" s="1"/>
  <c r="AV41" i="5"/>
  <c r="AV42" i="5"/>
  <c r="AT42" i="5" s="1"/>
  <c r="AV43" i="5"/>
  <c r="AT43" i="5" s="1"/>
  <c r="AV44" i="5"/>
  <c r="AV45" i="5"/>
  <c r="AV46" i="5"/>
  <c r="AT46" i="5" s="1"/>
  <c r="AV47" i="5"/>
  <c r="AT47" i="5" s="1"/>
  <c r="AV48" i="5"/>
  <c r="AT48" i="5" s="1"/>
  <c r="AV49" i="5"/>
  <c r="AT49" i="5" s="1"/>
  <c r="AV51" i="5"/>
  <c r="AT51" i="5" s="1"/>
  <c r="AV52" i="5"/>
  <c r="AT52" i="5" s="1"/>
  <c r="AV53" i="5"/>
  <c r="AT53" i="5" s="1"/>
  <c r="AV54" i="5"/>
  <c r="AV35" i="5"/>
  <c r="AT35" i="5" s="1"/>
  <c r="AV55" i="5"/>
  <c r="AV56" i="5"/>
  <c r="AV57" i="5"/>
  <c r="AT57" i="5" s="1"/>
  <c r="AV58" i="5"/>
  <c r="AT58" i="5" s="1"/>
  <c r="AV59" i="5"/>
  <c r="AV60" i="5"/>
  <c r="AV61" i="5"/>
  <c r="AV62" i="5"/>
  <c r="AT62" i="5" s="1"/>
  <c r="AV64" i="5"/>
  <c r="AV63" i="5"/>
  <c r="AT63" i="5" s="1"/>
  <c r="AV65" i="5"/>
  <c r="AT65" i="5" s="1"/>
  <c r="AV66" i="5"/>
  <c r="AT66" i="5" s="1"/>
  <c r="AV67" i="5"/>
  <c r="AV68" i="5"/>
  <c r="AT68" i="5" s="1"/>
  <c r="AV69" i="5"/>
  <c r="AV70" i="5"/>
  <c r="AT70" i="5" s="1"/>
  <c r="AV71" i="5"/>
  <c r="AV72" i="5"/>
  <c r="AV73" i="5"/>
  <c r="AT73" i="5" s="1"/>
  <c r="AV74" i="5"/>
  <c r="AT74" i="5" s="1"/>
  <c r="AV75" i="5"/>
  <c r="AV77" i="5"/>
  <c r="AV78" i="5"/>
  <c r="AV76" i="5"/>
  <c r="AT76" i="5" s="1"/>
  <c r="AV79" i="5"/>
  <c r="AV80" i="5"/>
  <c r="AT80" i="5" s="1"/>
  <c r="AV81" i="5"/>
  <c r="AT81" i="5" s="1"/>
  <c r="AV82" i="5"/>
  <c r="AT82" i="5" s="1"/>
  <c r="AV83" i="5"/>
  <c r="AV84" i="5"/>
  <c r="AT84" i="5" s="1"/>
  <c r="AN3" i="5"/>
  <c r="AL3" i="5" s="1"/>
  <c r="AN4" i="5"/>
  <c r="AL4" i="5" s="1"/>
  <c r="AN5" i="5"/>
  <c r="AL5" i="5" s="1"/>
  <c r="AN6" i="5"/>
  <c r="AL6" i="5" s="1"/>
  <c r="AN7" i="5"/>
  <c r="AL7" i="5" s="1"/>
  <c r="AN9" i="5"/>
  <c r="AL9" i="5" s="1"/>
  <c r="AN10" i="5"/>
  <c r="AL10" i="5" s="1"/>
  <c r="AN11" i="5"/>
  <c r="AL11" i="5" s="1"/>
  <c r="AN12" i="5"/>
  <c r="AL12" i="5" s="1"/>
  <c r="AN13" i="5"/>
  <c r="AL13" i="5" s="1"/>
  <c r="AN14" i="5"/>
  <c r="AL14" i="5" s="1"/>
  <c r="AN15" i="5"/>
  <c r="AL15" i="5" s="1"/>
  <c r="AN16" i="5"/>
  <c r="AL16" i="5" s="1"/>
  <c r="AN17" i="5"/>
  <c r="AL17" i="5" s="1"/>
  <c r="AN18" i="5"/>
  <c r="AL18" i="5" s="1"/>
  <c r="AN19" i="5"/>
  <c r="AL19" i="5" s="1"/>
  <c r="AN20" i="5"/>
  <c r="AL20" i="5" s="1"/>
  <c r="AN21" i="5"/>
  <c r="AL21" i="5" s="1"/>
  <c r="AN22" i="5"/>
  <c r="AN24" i="5"/>
  <c r="AL24" i="5" s="1"/>
  <c r="AN23" i="5"/>
  <c r="AL23" i="5" s="1"/>
  <c r="AN25" i="5"/>
  <c r="AL25" i="5" s="1"/>
  <c r="AN31" i="5"/>
  <c r="AL31" i="5" s="1"/>
  <c r="AN26" i="5"/>
  <c r="AL26" i="5" s="1"/>
  <c r="AN27" i="5"/>
  <c r="AL27" i="5" s="1"/>
  <c r="AN28" i="5"/>
  <c r="AL28" i="5" s="1"/>
  <c r="AN29" i="5"/>
  <c r="AL29" i="5" s="1"/>
  <c r="AN30" i="5"/>
  <c r="AL30" i="5" s="1"/>
  <c r="AN32" i="5"/>
  <c r="AL32" i="5" s="1"/>
  <c r="AN33" i="5"/>
  <c r="AL33" i="5" s="1"/>
  <c r="AN34" i="5"/>
  <c r="AL34" i="5" s="1"/>
  <c r="AN36" i="5"/>
  <c r="AL36" i="5" s="1"/>
  <c r="AN37" i="5"/>
  <c r="AL37" i="5" s="1"/>
  <c r="AN38" i="5"/>
  <c r="AL38" i="5" s="1"/>
  <c r="AN39" i="5"/>
  <c r="AL39" i="5" s="1"/>
  <c r="AN40" i="5"/>
  <c r="AL40" i="5" s="1"/>
  <c r="AN41" i="5"/>
  <c r="AL41" i="5" s="1"/>
  <c r="AN42" i="5"/>
  <c r="AL42" i="5" s="1"/>
  <c r="AN43" i="5"/>
  <c r="AL43" i="5" s="1"/>
  <c r="AN44" i="5"/>
  <c r="AL44" i="5" s="1"/>
  <c r="AN45" i="5"/>
  <c r="AN46" i="5"/>
  <c r="AL46" i="5" s="1"/>
  <c r="AN47" i="5"/>
  <c r="AL47" i="5" s="1"/>
  <c r="AN48" i="5"/>
  <c r="AL48" i="5" s="1"/>
  <c r="AN49" i="5"/>
  <c r="AL49" i="5" s="1"/>
  <c r="AN51" i="5"/>
  <c r="AL51" i="5" s="1"/>
  <c r="AN52" i="5"/>
  <c r="AL52" i="5" s="1"/>
  <c r="AN53" i="5"/>
  <c r="AL53" i="5" s="1"/>
  <c r="AN54" i="5"/>
  <c r="AL54" i="5" s="1"/>
  <c r="AN35" i="5"/>
  <c r="AL35" i="5" s="1"/>
  <c r="AN55" i="5"/>
  <c r="AL55" i="5" s="1"/>
  <c r="AN56" i="5"/>
  <c r="AL56" i="5" s="1"/>
  <c r="AN57" i="5"/>
  <c r="AL57" i="5" s="1"/>
  <c r="AN58" i="5"/>
  <c r="AL58" i="5" s="1"/>
  <c r="AN59" i="5"/>
  <c r="AL59" i="5" s="1"/>
  <c r="AN60" i="5"/>
  <c r="AL60" i="5" s="1"/>
  <c r="AN61" i="5"/>
  <c r="AL61" i="5" s="1"/>
  <c r="AN62" i="5"/>
  <c r="AL62" i="5" s="1"/>
  <c r="AN64" i="5"/>
  <c r="AL64" i="5" s="1"/>
  <c r="AN63" i="5"/>
  <c r="AL63" i="5" s="1"/>
  <c r="AN65" i="5"/>
  <c r="AL65" i="5" s="1"/>
  <c r="AN66" i="5"/>
  <c r="AL66" i="5" s="1"/>
  <c r="AN67" i="5"/>
  <c r="AL67" i="5" s="1"/>
  <c r="AN68" i="5"/>
  <c r="AL68" i="5" s="1"/>
  <c r="AN69" i="5"/>
  <c r="AL69" i="5" s="1"/>
  <c r="AN70" i="5"/>
  <c r="AL70" i="5" s="1"/>
  <c r="AN71" i="5"/>
  <c r="AL71" i="5" s="1"/>
  <c r="AN72" i="5"/>
  <c r="AL72" i="5" s="1"/>
  <c r="AN73" i="5"/>
  <c r="AL73" i="5" s="1"/>
  <c r="AN74" i="5"/>
  <c r="AL74" i="5" s="1"/>
  <c r="AN75" i="5"/>
  <c r="AL75" i="5" s="1"/>
  <c r="AN77" i="5"/>
  <c r="AL77" i="5" s="1"/>
  <c r="AN78" i="5"/>
  <c r="AL78" i="5" s="1"/>
  <c r="AN76" i="5"/>
  <c r="AL76" i="5" s="1"/>
  <c r="AN79" i="5"/>
  <c r="AL79" i="5" s="1"/>
  <c r="AN80" i="5"/>
  <c r="AL80" i="5" s="1"/>
  <c r="AN81" i="5"/>
  <c r="AL81" i="5" s="1"/>
  <c r="AN82" i="5"/>
  <c r="AL82" i="5" s="1"/>
  <c r="AN83" i="5"/>
  <c r="AL83" i="5" s="1"/>
  <c r="AN84" i="5"/>
  <c r="AL84" i="5" s="1"/>
  <c r="AF3" i="5"/>
  <c r="AF4" i="5"/>
  <c r="AD4" i="5" s="1"/>
  <c r="AF5" i="5"/>
  <c r="AD5" i="5" s="1"/>
  <c r="AF6" i="5"/>
  <c r="AD6" i="5" s="1"/>
  <c r="AF7" i="5"/>
  <c r="AF9" i="5"/>
  <c r="AD9" i="5" s="1"/>
  <c r="AF10" i="5"/>
  <c r="AD10" i="5" s="1"/>
  <c r="AF11" i="5"/>
  <c r="AD11" i="5" s="1"/>
  <c r="AF12" i="5"/>
  <c r="AF13" i="5"/>
  <c r="AD13" i="5" s="1"/>
  <c r="AF14" i="5"/>
  <c r="AD14" i="5" s="1"/>
  <c r="AF15" i="5"/>
  <c r="AD15" i="5" s="1"/>
  <c r="AF16" i="5"/>
  <c r="AF17" i="5"/>
  <c r="AD17" i="5" s="1"/>
  <c r="AF18" i="5"/>
  <c r="AD18" i="5" s="1"/>
  <c r="AF19" i="5"/>
  <c r="AD19" i="5" s="1"/>
  <c r="AF20" i="5"/>
  <c r="AF21" i="5"/>
  <c r="AD21" i="5" s="1"/>
  <c r="AF22" i="5"/>
  <c r="AD22" i="5" s="1"/>
  <c r="AF24" i="5"/>
  <c r="AD24" i="5" s="1"/>
  <c r="AF23" i="5"/>
  <c r="AD23" i="5" s="1"/>
  <c r="AF25" i="5"/>
  <c r="AD25" i="5" s="1"/>
  <c r="AF31" i="5"/>
  <c r="AD31" i="5" s="1"/>
  <c r="AF26" i="5"/>
  <c r="AD26" i="5" s="1"/>
  <c r="AF27" i="5"/>
  <c r="AF28" i="5"/>
  <c r="AD28" i="5" s="1"/>
  <c r="AF29" i="5"/>
  <c r="AD29" i="5" s="1"/>
  <c r="AF30" i="5"/>
  <c r="AD30" i="5" s="1"/>
  <c r="AF32" i="5"/>
  <c r="AD32" i="5" s="1"/>
  <c r="AF33" i="5"/>
  <c r="AD33" i="5" s="1"/>
  <c r="AF34" i="5"/>
  <c r="AD34" i="5" s="1"/>
  <c r="AF36" i="5"/>
  <c r="AD36" i="5" s="1"/>
  <c r="AF37" i="5"/>
  <c r="AD37" i="5" s="1"/>
  <c r="AF38" i="5"/>
  <c r="AD38" i="5" s="1"/>
  <c r="AF39" i="5"/>
  <c r="AD39" i="5" s="1"/>
  <c r="AF40" i="5"/>
  <c r="AD40" i="5" s="1"/>
  <c r="AF41" i="5"/>
  <c r="AF42" i="5"/>
  <c r="AD42" i="5" s="1"/>
  <c r="AF43" i="5"/>
  <c r="AD43" i="5" s="1"/>
  <c r="AF44" i="5"/>
  <c r="AD44" i="5" s="1"/>
  <c r="AF45" i="5"/>
  <c r="AD45" i="5" s="1"/>
  <c r="AF46" i="5"/>
  <c r="AD46" i="5" s="1"/>
  <c r="AF47" i="5"/>
  <c r="AD47" i="5" s="1"/>
  <c r="AF48" i="5"/>
  <c r="AD48" i="5" s="1"/>
  <c r="AF49" i="5"/>
  <c r="AF51" i="5"/>
  <c r="AD51" i="5" s="1"/>
  <c r="AF52" i="5"/>
  <c r="AD52" i="5" s="1"/>
  <c r="AF53" i="5"/>
  <c r="AD53" i="5" s="1"/>
  <c r="AF54" i="5"/>
  <c r="AD54" i="5" s="1"/>
  <c r="AF35" i="5"/>
  <c r="AD35" i="5" s="1"/>
  <c r="AF55" i="5"/>
  <c r="AD55" i="5" s="1"/>
  <c r="AF56" i="5"/>
  <c r="AD56" i="5" s="1"/>
  <c r="AF57" i="5"/>
  <c r="AD57" i="5" s="1"/>
  <c r="AF58" i="5"/>
  <c r="AD58" i="5" s="1"/>
  <c r="AF59" i="5"/>
  <c r="AD59" i="5" s="1"/>
  <c r="AF60" i="5"/>
  <c r="AD60" i="5" s="1"/>
  <c r="AF61" i="5"/>
  <c r="AD61" i="5" s="1"/>
  <c r="AF62" i="5"/>
  <c r="AD62" i="5" s="1"/>
  <c r="AF64" i="5"/>
  <c r="AD64" i="5" s="1"/>
  <c r="AF63" i="5"/>
  <c r="AD63" i="5" s="1"/>
  <c r="AF65" i="5"/>
  <c r="AD65" i="5" s="1"/>
  <c r="AF66" i="5"/>
  <c r="AD66" i="5" s="1"/>
  <c r="AF67" i="5"/>
  <c r="AD67" i="5" s="1"/>
  <c r="AF68" i="5"/>
  <c r="AD68" i="5" s="1"/>
  <c r="AF69" i="5"/>
  <c r="AD69" i="5" s="1"/>
  <c r="AF70" i="5"/>
  <c r="AD70" i="5" s="1"/>
  <c r="AF71" i="5"/>
  <c r="AD71" i="5" s="1"/>
  <c r="AF72" i="5"/>
  <c r="AD72" i="5" s="1"/>
  <c r="AF73" i="5"/>
  <c r="AF74" i="5"/>
  <c r="AD74" i="5" s="1"/>
  <c r="AF75" i="5"/>
  <c r="AD75" i="5" s="1"/>
  <c r="AF77" i="5"/>
  <c r="AD77" i="5" s="1"/>
  <c r="AF78" i="5"/>
  <c r="AD78" i="5" s="1"/>
  <c r="AF76" i="5"/>
  <c r="AD76" i="5" s="1"/>
  <c r="AF79" i="5"/>
  <c r="AD79" i="5" s="1"/>
  <c r="AF80" i="5"/>
  <c r="AD80" i="5" s="1"/>
  <c r="AF81" i="5"/>
  <c r="AD81" i="5" s="1"/>
  <c r="AF82" i="5"/>
  <c r="AD82" i="5" s="1"/>
  <c r="AF83" i="5"/>
  <c r="AD83" i="5" s="1"/>
  <c r="AF84" i="5"/>
  <c r="AD84" i="5" s="1"/>
  <c r="X3" i="5"/>
  <c r="X4" i="5"/>
  <c r="V4" i="5" s="1"/>
  <c r="X5" i="5"/>
  <c r="X6" i="5"/>
  <c r="V6" i="5" s="1"/>
  <c r="X7" i="5"/>
  <c r="V7" i="5" s="1"/>
  <c r="X9" i="5"/>
  <c r="V9" i="5" s="1"/>
  <c r="X10" i="5"/>
  <c r="X11" i="5"/>
  <c r="V11" i="5" s="1"/>
  <c r="X12" i="5"/>
  <c r="V12" i="5" s="1"/>
  <c r="X13" i="5"/>
  <c r="V13" i="5" s="1"/>
  <c r="X14" i="5"/>
  <c r="X15" i="5"/>
  <c r="V15" i="5" s="1"/>
  <c r="X16" i="5"/>
  <c r="V16" i="5" s="1"/>
  <c r="X17" i="5"/>
  <c r="V17" i="5" s="1"/>
  <c r="X18" i="5"/>
  <c r="X19" i="5"/>
  <c r="V19" i="5" s="1"/>
  <c r="X20" i="5"/>
  <c r="V20" i="5" s="1"/>
  <c r="X21" i="5"/>
  <c r="V21" i="5" s="1"/>
  <c r="X22" i="5"/>
  <c r="V22" i="5" s="1"/>
  <c r="X24" i="5"/>
  <c r="V24" i="5" s="1"/>
  <c r="X23" i="5"/>
  <c r="V23" i="5" s="1"/>
  <c r="X25" i="5"/>
  <c r="V25" i="5" s="1"/>
  <c r="X31" i="5"/>
  <c r="V31" i="5" s="1"/>
  <c r="X26" i="5"/>
  <c r="V26" i="5" s="1"/>
  <c r="X27" i="5"/>
  <c r="V27" i="5" s="1"/>
  <c r="X28" i="5"/>
  <c r="V28" i="5" s="1"/>
  <c r="X29" i="5"/>
  <c r="V29" i="5" s="1"/>
  <c r="X30" i="5"/>
  <c r="V30" i="5" s="1"/>
  <c r="X32" i="5"/>
  <c r="V32" i="5" s="1"/>
  <c r="X33" i="5"/>
  <c r="V33" i="5" s="1"/>
  <c r="X34" i="5"/>
  <c r="V34" i="5" s="1"/>
  <c r="X36" i="5"/>
  <c r="V36" i="5" s="1"/>
  <c r="X37" i="5"/>
  <c r="V37" i="5" s="1"/>
  <c r="X38" i="5"/>
  <c r="V38" i="5" s="1"/>
  <c r="X39" i="5"/>
  <c r="V39" i="5" s="1"/>
  <c r="X40" i="5"/>
  <c r="V40" i="5" s="1"/>
  <c r="X41" i="5"/>
  <c r="X42" i="5"/>
  <c r="V42" i="5" s="1"/>
  <c r="X43" i="5"/>
  <c r="V43" i="5" s="1"/>
  <c r="X44" i="5"/>
  <c r="V44" i="5" s="1"/>
  <c r="X45" i="5"/>
  <c r="V45" i="5" s="1"/>
  <c r="X46" i="5"/>
  <c r="V46" i="5" s="1"/>
  <c r="X47" i="5"/>
  <c r="V47" i="5" s="1"/>
  <c r="X48" i="5"/>
  <c r="V48" i="5" s="1"/>
  <c r="X49" i="5"/>
  <c r="V49" i="5" s="1"/>
  <c r="X51" i="5"/>
  <c r="V51" i="5" s="1"/>
  <c r="X52" i="5"/>
  <c r="V52" i="5" s="1"/>
  <c r="X53" i="5"/>
  <c r="V53" i="5" s="1"/>
  <c r="X54" i="5"/>
  <c r="V54" i="5" s="1"/>
  <c r="X35" i="5"/>
  <c r="V35" i="5" s="1"/>
  <c r="X55" i="5"/>
  <c r="V55" i="5" s="1"/>
  <c r="X56" i="5"/>
  <c r="V56" i="5" s="1"/>
  <c r="X57" i="5"/>
  <c r="V57" i="5" s="1"/>
  <c r="X58" i="5"/>
  <c r="V58" i="5" s="1"/>
  <c r="X59" i="5"/>
  <c r="V59" i="5" s="1"/>
  <c r="X60" i="5"/>
  <c r="V60" i="5" s="1"/>
  <c r="X61" i="5"/>
  <c r="X62" i="5"/>
  <c r="V62" i="5" s="1"/>
  <c r="X64" i="5"/>
  <c r="V64" i="5" s="1"/>
  <c r="X63" i="5"/>
  <c r="V63" i="5" s="1"/>
  <c r="X65" i="5"/>
  <c r="V65" i="5" s="1"/>
  <c r="X66" i="5"/>
  <c r="V66" i="5" s="1"/>
  <c r="X67" i="5"/>
  <c r="V67" i="5" s="1"/>
  <c r="X68" i="5"/>
  <c r="V68" i="5" s="1"/>
  <c r="X69" i="5"/>
  <c r="V69" i="5" s="1"/>
  <c r="X70" i="5"/>
  <c r="V70" i="5" s="1"/>
  <c r="X71" i="5"/>
  <c r="V71" i="5" s="1"/>
  <c r="X72" i="5"/>
  <c r="V72" i="5" s="1"/>
  <c r="X73" i="5"/>
  <c r="V73" i="5" s="1"/>
  <c r="X74" i="5"/>
  <c r="V74" i="5" s="1"/>
  <c r="X75" i="5"/>
  <c r="V75" i="5" s="1"/>
  <c r="X77" i="5"/>
  <c r="V77" i="5" s="1"/>
  <c r="X78" i="5"/>
  <c r="V78" i="5" s="1"/>
  <c r="X76" i="5"/>
  <c r="V76" i="5" s="1"/>
  <c r="X79" i="5"/>
  <c r="V79" i="5" s="1"/>
  <c r="X80" i="5"/>
  <c r="V80" i="5" s="1"/>
  <c r="X81" i="5"/>
  <c r="V81" i="5" s="1"/>
  <c r="X82" i="5"/>
  <c r="V82" i="5" s="1"/>
  <c r="X83" i="5"/>
  <c r="V83" i="5" s="1"/>
  <c r="X84" i="5"/>
  <c r="V84" i="5" s="1"/>
  <c r="P3" i="5"/>
  <c r="P4" i="5"/>
  <c r="P5" i="5"/>
  <c r="P6" i="5"/>
  <c r="P7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4" i="5"/>
  <c r="P23" i="5"/>
  <c r="P25" i="5"/>
  <c r="P31" i="5"/>
  <c r="P26" i="5"/>
  <c r="P27" i="5"/>
  <c r="P28" i="5"/>
  <c r="P29" i="5"/>
  <c r="P30" i="5"/>
  <c r="P32" i="5"/>
  <c r="P33" i="5"/>
  <c r="P34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1" i="5"/>
  <c r="P52" i="5"/>
  <c r="P53" i="5"/>
  <c r="P54" i="5"/>
  <c r="P35" i="5"/>
  <c r="P55" i="5"/>
  <c r="P56" i="5"/>
  <c r="P57" i="5"/>
  <c r="P58" i="5"/>
  <c r="P59" i="5"/>
  <c r="P60" i="5"/>
  <c r="P61" i="5"/>
  <c r="P62" i="5"/>
  <c r="P64" i="5"/>
  <c r="P63" i="5"/>
  <c r="P65" i="5"/>
  <c r="P66" i="5"/>
  <c r="P67" i="5"/>
  <c r="P68" i="5"/>
  <c r="P69" i="5"/>
  <c r="P70" i="5"/>
  <c r="P71" i="5"/>
  <c r="P72" i="5"/>
  <c r="P73" i="5"/>
  <c r="P74" i="5"/>
  <c r="P75" i="5"/>
  <c r="P77" i="5"/>
  <c r="P78" i="5"/>
  <c r="P76" i="5"/>
  <c r="P79" i="5"/>
  <c r="P80" i="5"/>
  <c r="P81" i="5"/>
  <c r="P82" i="5"/>
  <c r="P83" i="5"/>
  <c r="P84" i="5"/>
  <c r="H4" i="5"/>
  <c r="H3" i="5"/>
  <c r="H5" i="5"/>
  <c r="H6" i="5"/>
  <c r="H7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4" i="5"/>
  <c r="H23" i="5"/>
  <c r="H25" i="5"/>
  <c r="H31" i="5"/>
  <c r="H26" i="5"/>
  <c r="H27" i="5"/>
  <c r="H28" i="5"/>
  <c r="H29" i="5"/>
  <c r="H30" i="5"/>
  <c r="H32" i="5"/>
  <c r="H33" i="5"/>
  <c r="H34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1" i="5"/>
  <c r="H52" i="5"/>
  <c r="H53" i="5"/>
  <c r="H54" i="5"/>
  <c r="H35" i="5"/>
  <c r="H55" i="5"/>
  <c r="H56" i="5"/>
  <c r="H57" i="5"/>
  <c r="H58" i="5"/>
  <c r="H59" i="5"/>
  <c r="H60" i="5"/>
  <c r="H61" i="5"/>
  <c r="H62" i="5"/>
  <c r="H64" i="5"/>
  <c r="H63" i="5"/>
  <c r="H65" i="5"/>
  <c r="H66" i="5"/>
  <c r="H67" i="5"/>
  <c r="H68" i="5"/>
  <c r="H69" i="5"/>
  <c r="H70" i="5"/>
  <c r="H71" i="5"/>
  <c r="H72" i="5"/>
  <c r="H73" i="5"/>
  <c r="H74" i="5"/>
  <c r="H75" i="5"/>
  <c r="H77" i="5"/>
  <c r="H78" i="5"/>
  <c r="H76" i="5"/>
  <c r="H79" i="5"/>
  <c r="H80" i="5"/>
  <c r="H81" i="5"/>
  <c r="H82" i="5"/>
  <c r="H83" i="5"/>
  <c r="H84" i="5"/>
  <c r="BQ3" i="5"/>
  <c r="BQ4" i="5"/>
  <c r="BQ5" i="5"/>
  <c r="BQ6" i="5"/>
  <c r="BQ7" i="5"/>
  <c r="BQ9" i="5"/>
  <c r="BQ10" i="5"/>
  <c r="BQ11" i="5"/>
  <c r="BQ12" i="5"/>
  <c r="BQ13" i="5"/>
  <c r="BQ14" i="5"/>
  <c r="BQ15" i="5"/>
  <c r="BQ16" i="5"/>
  <c r="BQ17" i="5"/>
  <c r="BQ18" i="5"/>
  <c r="BQ19" i="5"/>
  <c r="BQ20" i="5"/>
  <c r="BQ21" i="5"/>
  <c r="BQ22" i="5"/>
  <c r="BQ24" i="5"/>
  <c r="BQ23" i="5"/>
  <c r="BQ25" i="5"/>
  <c r="BQ31" i="5"/>
  <c r="BQ26" i="5"/>
  <c r="BQ27" i="5"/>
  <c r="BQ28" i="5"/>
  <c r="BQ29" i="5"/>
  <c r="BQ30" i="5"/>
  <c r="BQ32" i="5"/>
  <c r="BQ33" i="5"/>
  <c r="BQ34" i="5"/>
  <c r="BQ36" i="5"/>
  <c r="BQ37" i="5"/>
  <c r="BQ38" i="5"/>
  <c r="BQ39" i="5"/>
  <c r="BQ40" i="5"/>
  <c r="BQ41" i="5"/>
  <c r="BQ42" i="5"/>
  <c r="BQ43" i="5"/>
  <c r="BQ44" i="5"/>
  <c r="BQ45" i="5"/>
  <c r="BQ46" i="5"/>
  <c r="BQ47" i="5"/>
  <c r="BQ48" i="5"/>
  <c r="BQ49" i="5"/>
  <c r="BQ51" i="5"/>
  <c r="BQ52" i="5"/>
  <c r="BQ53" i="5"/>
  <c r="BQ54" i="5"/>
  <c r="BQ35" i="5"/>
  <c r="BQ55" i="5"/>
  <c r="BQ56" i="5"/>
  <c r="BQ57" i="5"/>
  <c r="BQ58" i="5"/>
  <c r="BQ59" i="5"/>
  <c r="BQ60" i="5"/>
  <c r="BQ61" i="5"/>
  <c r="BQ62" i="5"/>
  <c r="BQ64" i="5"/>
  <c r="BQ63" i="5"/>
  <c r="BQ65" i="5"/>
  <c r="BQ66" i="5"/>
  <c r="BQ67" i="5"/>
  <c r="BQ68" i="5"/>
  <c r="BQ69" i="5"/>
  <c r="BQ70" i="5"/>
  <c r="BQ71" i="5"/>
  <c r="BQ72" i="5"/>
  <c r="BQ73" i="5"/>
  <c r="BQ74" i="5"/>
  <c r="BQ75" i="5"/>
  <c r="BQ77" i="5"/>
  <c r="BQ78" i="5"/>
  <c r="BQ76" i="5"/>
  <c r="BQ79" i="5"/>
  <c r="BQ80" i="5"/>
  <c r="BQ81" i="5"/>
  <c r="BQ82" i="5"/>
  <c r="BQ83" i="5"/>
  <c r="BQ84" i="5"/>
  <c r="BN3" i="5"/>
  <c r="BN4" i="5"/>
  <c r="BN5" i="5"/>
  <c r="BN6" i="5"/>
  <c r="BN7" i="5"/>
  <c r="BN9" i="5"/>
  <c r="BN10" i="5"/>
  <c r="BN11" i="5"/>
  <c r="BN12" i="5"/>
  <c r="BN13" i="5"/>
  <c r="BN14" i="5"/>
  <c r="BN15" i="5"/>
  <c r="BN16" i="5"/>
  <c r="BN17" i="5"/>
  <c r="BN18" i="5"/>
  <c r="BN19" i="5"/>
  <c r="BN20" i="5"/>
  <c r="BN21" i="5"/>
  <c r="BN22" i="5"/>
  <c r="BN24" i="5"/>
  <c r="BN23" i="5"/>
  <c r="BN25" i="5"/>
  <c r="BN31" i="5"/>
  <c r="BN26" i="5"/>
  <c r="BN27" i="5"/>
  <c r="BN28" i="5"/>
  <c r="BN29" i="5"/>
  <c r="BN30" i="5"/>
  <c r="BN32" i="5"/>
  <c r="BN33" i="5"/>
  <c r="BN34" i="5"/>
  <c r="BN36" i="5"/>
  <c r="BN37" i="5"/>
  <c r="BN38" i="5"/>
  <c r="BN39" i="5"/>
  <c r="BN40" i="5"/>
  <c r="BN41" i="5"/>
  <c r="BN42" i="5"/>
  <c r="BN43" i="5"/>
  <c r="BN44" i="5"/>
  <c r="BN45" i="5"/>
  <c r="BN46" i="5"/>
  <c r="BN47" i="5"/>
  <c r="BN48" i="5"/>
  <c r="BN49" i="5"/>
  <c r="BN51" i="5"/>
  <c r="BN52" i="5"/>
  <c r="BN53" i="5"/>
  <c r="BN54" i="5"/>
  <c r="BN35" i="5"/>
  <c r="BN55" i="5"/>
  <c r="BN56" i="5"/>
  <c r="BN57" i="5"/>
  <c r="BN58" i="5"/>
  <c r="BN59" i="5"/>
  <c r="BN60" i="5"/>
  <c r="BN61" i="5"/>
  <c r="BN62" i="5"/>
  <c r="BN64" i="5"/>
  <c r="BN63" i="5"/>
  <c r="BN65" i="5"/>
  <c r="BN66" i="5"/>
  <c r="BN67" i="5"/>
  <c r="BN68" i="5"/>
  <c r="BN69" i="5"/>
  <c r="BN70" i="5"/>
  <c r="BN71" i="5"/>
  <c r="BN72" i="5"/>
  <c r="BN73" i="5"/>
  <c r="BN74" i="5"/>
  <c r="BN75" i="5"/>
  <c r="BN77" i="5"/>
  <c r="BN78" i="5"/>
  <c r="BN76" i="5"/>
  <c r="BN79" i="5"/>
  <c r="BN80" i="5"/>
  <c r="BN81" i="5"/>
  <c r="BN82" i="5"/>
  <c r="BN83" i="5"/>
  <c r="BN84" i="5"/>
  <c r="BJ3" i="5"/>
  <c r="BJ4" i="5"/>
  <c r="BJ5" i="5"/>
  <c r="BJ6" i="5"/>
  <c r="BJ7" i="5"/>
  <c r="BJ9" i="5"/>
  <c r="BJ10" i="5"/>
  <c r="BJ11" i="5"/>
  <c r="BJ12" i="5"/>
  <c r="BJ13" i="5"/>
  <c r="BJ14" i="5"/>
  <c r="BJ15" i="5"/>
  <c r="BJ16" i="5"/>
  <c r="BJ17" i="5"/>
  <c r="BJ18" i="5"/>
  <c r="BJ19" i="5"/>
  <c r="BJ20" i="5"/>
  <c r="BJ21" i="5"/>
  <c r="BJ22" i="5"/>
  <c r="BJ24" i="5"/>
  <c r="BJ23" i="5"/>
  <c r="BJ25" i="5"/>
  <c r="BJ31" i="5"/>
  <c r="BJ26" i="5"/>
  <c r="BJ27" i="5"/>
  <c r="BJ28" i="5"/>
  <c r="BJ29" i="5"/>
  <c r="BJ30" i="5"/>
  <c r="BJ32" i="5"/>
  <c r="BJ33" i="5"/>
  <c r="BJ34" i="5"/>
  <c r="BJ36" i="5"/>
  <c r="BJ37" i="5"/>
  <c r="BJ38" i="5"/>
  <c r="BJ39" i="5"/>
  <c r="BJ40" i="5"/>
  <c r="BJ41" i="5"/>
  <c r="BJ42" i="5"/>
  <c r="BJ43" i="5"/>
  <c r="BJ44" i="5"/>
  <c r="BJ45" i="5"/>
  <c r="BJ46" i="5"/>
  <c r="BJ47" i="5"/>
  <c r="BJ48" i="5"/>
  <c r="BJ49" i="5"/>
  <c r="BJ51" i="5"/>
  <c r="BJ52" i="5"/>
  <c r="BJ53" i="5"/>
  <c r="BJ54" i="5"/>
  <c r="BJ35" i="5"/>
  <c r="BJ55" i="5"/>
  <c r="BJ56" i="5"/>
  <c r="BJ57" i="5"/>
  <c r="BJ58" i="5"/>
  <c r="BJ59" i="5"/>
  <c r="BJ60" i="5"/>
  <c r="BJ61" i="5"/>
  <c r="BJ62" i="5"/>
  <c r="BJ64" i="5"/>
  <c r="BJ63" i="5"/>
  <c r="BJ65" i="5"/>
  <c r="BJ66" i="5"/>
  <c r="BJ67" i="5"/>
  <c r="BJ68" i="5"/>
  <c r="BJ69" i="5"/>
  <c r="BJ70" i="5"/>
  <c r="BJ71" i="5"/>
  <c r="BJ72" i="5"/>
  <c r="BJ73" i="5"/>
  <c r="BJ74" i="5"/>
  <c r="BJ75" i="5"/>
  <c r="BJ77" i="5"/>
  <c r="BJ78" i="5"/>
  <c r="BJ76" i="5"/>
  <c r="BJ79" i="5"/>
  <c r="BJ80" i="5"/>
  <c r="BJ81" i="5"/>
  <c r="BJ82" i="5"/>
  <c r="BJ83" i="5"/>
  <c r="BJ84" i="5"/>
  <c r="BM3" i="5"/>
  <c r="BM4" i="5"/>
  <c r="BM5" i="5"/>
  <c r="BM6" i="5"/>
  <c r="BM7" i="5"/>
  <c r="BM9" i="5"/>
  <c r="BM10" i="5"/>
  <c r="BM11" i="5"/>
  <c r="BM12" i="5"/>
  <c r="BM13" i="5"/>
  <c r="BM14" i="5"/>
  <c r="BM15" i="5"/>
  <c r="BM16" i="5"/>
  <c r="BM17" i="5"/>
  <c r="BM18" i="5"/>
  <c r="BM19" i="5"/>
  <c r="BM20" i="5"/>
  <c r="BM21" i="5"/>
  <c r="BM22" i="5"/>
  <c r="BM24" i="5"/>
  <c r="BM23" i="5"/>
  <c r="BM25" i="5"/>
  <c r="BM31" i="5"/>
  <c r="BM26" i="5"/>
  <c r="BM27" i="5"/>
  <c r="BM28" i="5"/>
  <c r="BM29" i="5"/>
  <c r="BM30" i="5"/>
  <c r="BM32" i="5"/>
  <c r="BM33" i="5"/>
  <c r="BM34" i="5"/>
  <c r="BM36" i="5"/>
  <c r="BM37" i="5"/>
  <c r="BM38" i="5"/>
  <c r="BM39" i="5"/>
  <c r="BM40" i="5"/>
  <c r="BM41" i="5"/>
  <c r="BM42" i="5"/>
  <c r="BM43" i="5"/>
  <c r="BM44" i="5"/>
  <c r="BM45" i="5"/>
  <c r="BM46" i="5"/>
  <c r="BM47" i="5"/>
  <c r="BM48" i="5"/>
  <c r="BM49" i="5"/>
  <c r="BM51" i="5"/>
  <c r="BM52" i="5"/>
  <c r="BM53" i="5"/>
  <c r="BM54" i="5"/>
  <c r="BM35" i="5"/>
  <c r="BM55" i="5"/>
  <c r="BM56" i="5"/>
  <c r="BM57" i="5"/>
  <c r="BM58" i="5"/>
  <c r="BM59" i="5"/>
  <c r="BM60" i="5"/>
  <c r="BM61" i="5"/>
  <c r="BM62" i="5"/>
  <c r="BM64" i="5"/>
  <c r="BM63" i="5"/>
  <c r="BM65" i="5"/>
  <c r="BM66" i="5"/>
  <c r="BM67" i="5"/>
  <c r="BM68" i="5"/>
  <c r="BM69" i="5"/>
  <c r="BM70" i="5"/>
  <c r="BM71" i="5"/>
  <c r="BM72" i="5"/>
  <c r="BM73" i="5"/>
  <c r="BM74" i="5"/>
  <c r="BM75" i="5"/>
  <c r="BM77" i="5"/>
  <c r="BM78" i="5"/>
  <c r="BM76" i="5"/>
  <c r="BM79" i="5"/>
  <c r="BM80" i="5"/>
  <c r="BM81" i="5"/>
  <c r="BM82" i="5"/>
  <c r="BM83" i="5"/>
  <c r="BM84" i="5"/>
  <c r="BI3" i="5"/>
  <c r="BI4" i="5"/>
  <c r="BI5" i="5"/>
  <c r="BI6" i="5"/>
  <c r="BI7" i="5"/>
  <c r="BI9" i="5"/>
  <c r="BI10" i="5"/>
  <c r="BI11" i="5"/>
  <c r="BI12" i="5"/>
  <c r="BI13" i="5"/>
  <c r="BI14" i="5"/>
  <c r="BI15" i="5"/>
  <c r="BI16" i="5"/>
  <c r="BI17" i="5"/>
  <c r="BI18" i="5"/>
  <c r="BI19" i="5"/>
  <c r="BI20" i="5"/>
  <c r="BI21" i="5"/>
  <c r="BI22" i="5"/>
  <c r="BI24" i="5"/>
  <c r="BI23" i="5"/>
  <c r="BI25" i="5"/>
  <c r="BI31" i="5"/>
  <c r="BI26" i="5"/>
  <c r="BI27" i="5"/>
  <c r="BI28" i="5"/>
  <c r="BI29" i="5"/>
  <c r="BI30" i="5"/>
  <c r="BI32" i="5"/>
  <c r="BI33" i="5"/>
  <c r="BI34" i="5"/>
  <c r="BI36" i="5"/>
  <c r="BI37" i="5"/>
  <c r="BI38" i="5"/>
  <c r="BI39" i="5"/>
  <c r="BI40" i="5"/>
  <c r="BI41" i="5"/>
  <c r="BI42" i="5"/>
  <c r="BI43" i="5"/>
  <c r="BI44" i="5"/>
  <c r="BI45" i="5"/>
  <c r="BI46" i="5"/>
  <c r="BI47" i="5"/>
  <c r="BI48" i="5"/>
  <c r="BI49" i="5"/>
  <c r="BI51" i="5"/>
  <c r="BI52" i="5"/>
  <c r="BI53" i="5"/>
  <c r="BI54" i="5"/>
  <c r="BI35" i="5"/>
  <c r="BI55" i="5"/>
  <c r="BI56" i="5"/>
  <c r="BI57" i="5"/>
  <c r="BI58" i="5"/>
  <c r="BI59" i="5"/>
  <c r="BI60" i="5"/>
  <c r="BI61" i="5"/>
  <c r="BI62" i="5"/>
  <c r="BI64" i="5"/>
  <c r="BI63" i="5"/>
  <c r="BI65" i="5"/>
  <c r="BI66" i="5"/>
  <c r="BI67" i="5"/>
  <c r="BI68" i="5"/>
  <c r="BI69" i="5"/>
  <c r="BI70" i="5"/>
  <c r="BI71" i="5"/>
  <c r="BI72" i="5"/>
  <c r="BI73" i="5"/>
  <c r="BI74" i="5"/>
  <c r="BI75" i="5"/>
  <c r="BI77" i="5"/>
  <c r="BI78" i="5"/>
  <c r="BI76" i="5"/>
  <c r="BI79" i="5"/>
  <c r="BI80" i="5"/>
  <c r="BI81" i="5"/>
  <c r="BI82" i="5"/>
  <c r="BI83" i="5"/>
  <c r="BI84" i="5"/>
  <c r="BC3" i="5"/>
  <c r="BB7" i="5"/>
  <c r="BB12" i="5"/>
  <c r="BB16" i="5"/>
  <c r="BB23" i="5"/>
  <c r="BB37" i="5"/>
  <c r="BB39" i="5"/>
  <c r="BB65" i="5"/>
  <c r="BC4" i="5"/>
  <c r="BC5" i="5"/>
  <c r="BC6" i="5"/>
  <c r="BC7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4" i="5"/>
  <c r="BC23" i="5"/>
  <c r="BC25" i="5"/>
  <c r="BC31" i="5"/>
  <c r="BC26" i="5"/>
  <c r="BC27" i="5"/>
  <c r="BC28" i="5"/>
  <c r="BC29" i="5"/>
  <c r="BC30" i="5"/>
  <c r="BC32" i="5"/>
  <c r="BC33" i="5"/>
  <c r="BC34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1" i="5"/>
  <c r="BC52" i="5"/>
  <c r="BC53" i="5"/>
  <c r="BC54" i="5"/>
  <c r="BC35" i="5"/>
  <c r="BC55" i="5"/>
  <c r="BC56" i="5"/>
  <c r="BC57" i="5"/>
  <c r="BC58" i="5"/>
  <c r="BC59" i="5"/>
  <c r="BC60" i="5"/>
  <c r="BC61" i="5"/>
  <c r="BC62" i="5"/>
  <c r="BC64" i="5"/>
  <c r="BC63" i="5"/>
  <c r="BC65" i="5"/>
  <c r="BC66" i="5"/>
  <c r="BC67" i="5"/>
  <c r="BC68" i="5"/>
  <c r="BC69" i="5"/>
  <c r="BC70" i="5"/>
  <c r="BC71" i="5"/>
  <c r="BC72" i="5"/>
  <c r="BC73" i="5"/>
  <c r="BC74" i="5"/>
  <c r="BC75" i="5"/>
  <c r="BC77" i="5"/>
  <c r="BC78" i="5"/>
  <c r="BC76" i="5"/>
  <c r="BC79" i="5"/>
  <c r="BC80" i="5"/>
  <c r="BC81" i="5"/>
  <c r="BC82" i="5"/>
  <c r="BC83" i="5"/>
  <c r="BC84" i="5"/>
  <c r="AT9" i="5"/>
  <c r="AT16" i="5"/>
  <c r="AT37" i="5"/>
  <c r="AU3" i="5"/>
  <c r="AU4" i="5"/>
  <c r="AU5" i="5"/>
  <c r="AU6" i="5"/>
  <c r="AU7" i="5"/>
  <c r="AU9" i="5"/>
  <c r="AU10" i="5"/>
  <c r="AU11" i="5"/>
  <c r="AU12" i="5"/>
  <c r="AU13" i="5"/>
  <c r="AU14" i="5"/>
  <c r="AU15" i="5"/>
  <c r="AU16" i="5"/>
  <c r="AU17" i="5"/>
  <c r="AU18" i="5"/>
  <c r="AU19" i="5"/>
  <c r="AU20" i="5"/>
  <c r="AU21" i="5"/>
  <c r="AU22" i="5"/>
  <c r="AU24" i="5"/>
  <c r="AU23" i="5"/>
  <c r="AU25" i="5"/>
  <c r="AU31" i="5"/>
  <c r="AU26" i="5"/>
  <c r="AU27" i="5"/>
  <c r="AU28" i="5"/>
  <c r="AU29" i="5"/>
  <c r="AU30" i="5"/>
  <c r="AU32" i="5"/>
  <c r="AU33" i="5"/>
  <c r="AU34" i="5"/>
  <c r="AU36" i="5"/>
  <c r="AU37" i="5"/>
  <c r="AU38" i="5"/>
  <c r="AU39" i="5"/>
  <c r="AU40" i="5"/>
  <c r="AU41" i="5"/>
  <c r="AU42" i="5"/>
  <c r="AU43" i="5"/>
  <c r="AU44" i="5"/>
  <c r="AU45" i="5"/>
  <c r="AU46" i="5"/>
  <c r="AU47" i="5"/>
  <c r="AU48" i="5"/>
  <c r="AU49" i="5"/>
  <c r="AU51" i="5"/>
  <c r="AU52" i="5"/>
  <c r="AU53" i="5"/>
  <c r="AU54" i="5"/>
  <c r="AU35" i="5"/>
  <c r="AU55" i="5"/>
  <c r="AU56" i="5"/>
  <c r="AU57" i="5"/>
  <c r="AU58" i="5"/>
  <c r="AU59" i="5"/>
  <c r="AU60" i="5"/>
  <c r="AU61" i="5"/>
  <c r="AU62" i="5"/>
  <c r="AU64" i="5"/>
  <c r="AU63" i="5"/>
  <c r="AU65" i="5"/>
  <c r="AU66" i="5"/>
  <c r="AU67" i="5"/>
  <c r="AU68" i="5"/>
  <c r="AU69" i="5"/>
  <c r="AU70" i="5"/>
  <c r="AU71" i="5"/>
  <c r="AU72" i="5"/>
  <c r="AU73" i="5"/>
  <c r="AU74" i="5"/>
  <c r="AU75" i="5"/>
  <c r="AU77" i="5"/>
  <c r="AU78" i="5"/>
  <c r="AU76" i="5"/>
  <c r="AU79" i="5"/>
  <c r="AU80" i="5"/>
  <c r="AU81" i="5"/>
  <c r="AU82" i="5"/>
  <c r="AU83" i="5"/>
  <c r="AU84" i="5"/>
  <c r="AL22" i="5"/>
  <c r="AL45" i="5"/>
  <c r="AM3" i="5"/>
  <c r="AM4" i="5"/>
  <c r="AM5" i="5"/>
  <c r="AM6" i="5"/>
  <c r="AM7" i="5"/>
  <c r="AM9" i="5"/>
  <c r="AM10" i="5"/>
  <c r="AM11" i="5"/>
  <c r="AM12" i="5"/>
  <c r="AM13" i="5"/>
  <c r="AM14" i="5"/>
  <c r="AM15" i="5"/>
  <c r="AM16" i="5"/>
  <c r="AM17" i="5"/>
  <c r="AM18" i="5"/>
  <c r="AM19" i="5"/>
  <c r="AM20" i="5"/>
  <c r="AM21" i="5"/>
  <c r="AM22" i="5"/>
  <c r="AM24" i="5"/>
  <c r="AM23" i="5"/>
  <c r="AM25" i="5"/>
  <c r="AM31" i="5"/>
  <c r="AM26" i="5"/>
  <c r="AM27" i="5"/>
  <c r="AM28" i="5"/>
  <c r="AM29" i="5"/>
  <c r="AM30" i="5"/>
  <c r="AM32" i="5"/>
  <c r="AM33" i="5"/>
  <c r="AM34" i="5"/>
  <c r="AM36" i="5"/>
  <c r="AM37" i="5"/>
  <c r="AM38" i="5"/>
  <c r="AM39" i="5"/>
  <c r="AM40" i="5"/>
  <c r="AM41" i="5"/>
  <c r="AM42" i="5"/>
  <c r="AM43" i="5"/>
  <c r="AM44" i="5"/>
  <c r="AM45" i="5"/>
  <c r="AM46" i="5"/>
  <c r="AM47" i="5"/>
  <c r="AM48" i="5"/>
  <c r="AM49" i="5"/>
  <c r="AM51" i="5"/>
  <c r="AM52" i="5"/>
  <c r="AM53" i="5"/>
  <c r="AM54" i="5"/>
  <c r="AM35" i="5"/>
  <c r="AM55" i="5"/>
  <c r="AM56" i="5"/>
  <c r="AM57" i="5"/>
  <c r="AM58" i="5"/>
  <c r="AM59" i="5"/>
  <c r="AM60" i="5"/>
  <c r="AM61" i="5"/>
  <c r="AM62" i="5"/>
  <c r="AM64" i="5"/>
  <c r="AM63" i="5"/>
  <c r="AM65" i="5"/>
  <c r="AM66" i="5"/>
  <c r="AM67" i="5"/>
  <c r="AM68" i="5"/>
  <c r="AM69" i="5"/>
  <c r="AM70" i="5"/>
  <c r="AM71" i="5"/>
  <c r="AM72" i="5"/>
  <c r="AM73" i="5"/>
  <c r="AM74" i="5"/>
  <c r="AM75" i="5"/>
  <c r="AM77" i="5"/>
  <c r="AM78" i="5"/>
  <c r="AM76" i="5"/>
  <c r="AM79" i="5"/>
  <c r="AM80" i="5"/>
  <c r="AM81" i="5"/>
  <c r="AM82" i="5"/>
  <c r="AM83" i="5"/>
  <c r="AM84" i="5"/>
  <c r="AE3" i="5"/>
  <c r="AE4" i="5"/>
  <c r="AE5" i="5"/>
  <c r="AE6" i="5"/>
  <c r="AE7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4" i="5"/>
  <c r="AE23" i="5"/>
  <c r="AE25" i="5"/>
  <c r="AE31" i="5"/>
  <c r="AE26" i="5"/>
  <c r="AE27" i="5"/>
  <c r="AE28" i="5"/>
  <c r="AE29" i="5"/>
  <c r="AE30" i="5"/>
  <c r="AE32" i="5"/>
  <c r="AE33" i="5"/>
  <c r="AE34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1" i="5"/>
  <c r="AE52" i="5"/>
  <c r="AE53" i="5"/>
  <c r="AE54" i="5"/>
  <c r="AE35" i="5"/>
  <c r="AE55" i="5"/>
  <c r="AE56" i="5"/>
  <c r="AE57" i="5"/>
  <c r="AE58" i="5"/>
  <c r="AE59" i="5"/>
  <c r="AE60" i="5"/>
  <c r="AE61" i="5"/>
  <c r="AE62" i="5"/>
  <c r="AE64" i="5"/>
  <c r="AE63" i="5"/>
  <c r="AE65" i="5"/>
  <c r="AE66" i="5"/>
  <c r="AE67" i="5"/>
  <c r="AE68" i="5"/>
  <c r="AE69" i="5"/>
  <c r="AE70" i="5"/>
  <c r="AE71" i="5"/>
  <c r="AE72" i="5"/>
  <c r="AE73" i="5"/>
  <c r="AE74" i="5"/>
  <c r="AE75" i="5"/>
  <c r="AE77" i="5"/>
  <c r="AE78" i="5"/>
  <c r="AE76" i="5"/>
  <c r="AE79" i="5"/>
  <c r="AE80" i="5"/>
  <c r="AE81" i="5"/>
  <c r="AE82" i="5"/>
  <c r="AE83" i="5"/>
  <c r="AE84" i="5"/>
  <c r="AD3" i="5"/>
  <c r="AD7" i="5"/>
  <c r="AD12" i="5"/>
  <c r="AD16" i="5"/>
  <c r="AD20" i="5"/>
  <c r="AD27" i="5"/>
  <c r="AD41" i="5"/>
  <c r="AD49" i="5"/>
  <c r="AD73" i="5"/>
  <c r="V3" i="5"/>
  <c r="V41" i="5"/>
  <c r="V61" i="5"/>
  <c r="W4" i="5"/>
  <c r="W5" i="5"/>
  <c r="W6" i="5"/>
  <c r="W7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4" i="5"/>
  <c r="W23" i="5"/>
  <c r="W25" i="5"/>
  <c r="W31" i="5"/>
  <c r="W26" i="5"/>
  <c r="W27" i="5"/>
  <c r="W28" i="5"/>
  <c r="W29" i="5"/>
  <c r="W30" i="5"/>
  <c r="W32" i="5"/>
  <c r="W33" i="5"/>
  <c r="W34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1" i="5"/>
  <c r="W52" i="5"/>
  <c r="W53" i="5"/>
  <c r="W54" i="5"/>
  <c r="W35" i="5"/>
  <c r="W55" i="5"/>
  <c r="W56" i="5"/>
  <c r="W57" i="5"/>
  <c r="W58" i="5"/>
  <c r="W59" i="5"/>
  <c r="W60" i="5"/>
  <c r="W61" i="5"/>
  <c r="W62" i="5"/>
  <c r="W64" i="5"/>
  <c r="W63" i="5"/>
  <c r="W65" i="5"/>
  <c r="W66" i="5"/>
  <c r="W67" i="5"/>
  <c r="W68" i="5"/>
  <c r="W69" i="5"/>
  <c r="W70" i="5"/>
  <c r="W71" i="5"/>
  <c r="W72" i="5"/>
  <c r="W73" i="5"/>
  <c r="W74" i="5"/>
  <c r="W75" i="5"/>
  <c r="W77" i="5"/>
  <c r="W78" i="5"/>
  <c r="W76" i="5"/>
  <c r="W79" i="5"/>
  <c r="W80" i="5"/>
  <c r="W81" i="5"/>
  <c r="W82" i="5"/>
  <c r="W83" i="5"/>
  <c r="W84" i="5"/>
  <c r="O3" i="5"/>
  <c r="AG3" i="5" l="1"/>
  <c r="AG16" i="5"/>
  <c r="AG32" i="5"/>
  <c r="AG37" i="5"/>
  <c r="AG20" i="5"/>
  <c r="BE58" i="5"/>
  <c r="BE76" i="5"/>
  <c r="BE62" i="5"/>
  <c r="AG41" i="5"/>
  <c r="AG23" i="5"/>
  <c r="AG7" i="5"/>
  <c r="BE31" i="5"/>
  <c r="BE46" i="5"/>
  <c r="BE3" i="5"/>
  <c r="AG84" i="5"/>
  <c r="AG80" i="5"/>
  <c r="AG77" i="5"/>
  <c r="AG72" i="5"/>
  <c r="AG68" i="5"/>
  <c r="AG63" i="5"/>
  <c r="AG60" i="5"/>
  <c r="AG56" i="5"/>
  <c r="AG53" i="5"/>
  <c r="AG48" i="5"/>
  <c r="AG44" i="5"/>
  <c r="AG27" i="5"/>
  <c r="AG12" i="5"/>
  <c r="BE81" i="5"/>
  <c r="BE78" i="5"/>
  <c r="BE73" i="5"/>
  <c r="BE69" i="5"/>
  <c r="BE65" i="5"/>
  <c r="BE61" i="5"/>
  <c r="BE57" i="5"/>
  <c r="BE54" i="5"/>
  <c r="BE49" i="5"/>
  <c r="BE45" i="5"/>
  <c r="BE41" i="5"/>
  <c r="BE37" i="5"/>
  <c r="BE32" i="5"/>
  <c r="BE27" i="5"/>
  <c r="BE23" i="5"/>
  <c r="BE20" i="5"/>
  <c r="BE16" i="5"/>
  <c r="BE12" i="5"/>
  <c r="BE7" i="5"/>
  <c r="BE83" i="5"/>
  <c r="BE79" i="5"/>
  <c r="BE75" i="5"/>
  <c r="BE71" i="5"/>
  <c r="BE67" i="5"/>
  <c r="BE64" i="5"/>
  <c r="BE59" i="5"/>
  <c r="BE55" i="5"/>
  <c r="BE52" i="5"/>
  <c r="BE47" i="5"/>
  <c r="BE43" i="5"/>
  <c r="BE39" i="5"/>
  <c r="BE34" i="5"/>
  <c r="BE29" i="5"/>
  <c r="BE22" i="5"/>
  <c r="BE18" i="5"/>
  <c r="BE14" i="5"/>
  <c r="BE10" i="5"/>
  <c r="BE74" i="5"/>
  <c r="BE82" i="5"/>
  <c r="BE70" i="5"/>
  <c r="BE66" i="5"/>
  <c r="BE35" i="5"/>
  <c r="BE51" i="5"/>
  <c r="BE42" i="5"/>
  <c r="BE38" i="5"/>
  <c r="BE33" i="5"/>
  <c r="BE28" i="5"/>
  <c r="BE25" i="5"/>
  <c r="BE21" i="5"/>
  <c r="BE17" i="5"/>
  <c r="BE13" i="5"/>
  <c r="BE9" i="5"/>
  <c r="BE4" i="5"/>
  <c r="BE84" i="5"/>
  <c r="BE80" i="5"/>
  <c r="BE77" i="5"/>
  <c r="BE72" i="5"/>
  <c r="BE68" i="5"/>
  <c r="BE63" i="5"/>
  <c r="BE60" i="5"/>
  <c r="BE56" i="5"/>
  <c r="BE53" i="5"/>
  <c r="BE48" i="5"/>
  <c r="BE44" i="5"/>
  <c r="BE40" i="5"/>
  <c r="BE36" i="5"/>
  <c r="BE30" i="5"/>
  <c r="BE26" i="5"/>
  <c r="BE24" i="5"/>
  <c r="BE19" i="5"/>
  <c r="BE15" i="5"/>
  <c r="BE11" i="5"/>
  <c r="AW53" i="5"/>
  <c r="Y82" i="5"/>
  <c r="Y76" i="5"/>
  <c r="Y74" i="5"/>
  <c r="Y70" i="5"/>
  <c r="Y66" i="5"/>
  <c r="Y62" i="5"/>
  <c r="Y58" i="5"/>
  <c r="Y35" i="5"/>
  <c r="Y51" i="5"/>
  <c r="Y46" i="5"/>
  <c r="Y43" i="5"/>
  <c r="Y39" i="5"/>
  <c r="Y34" i="5"/>
  <c r="Y29" i="5"/>
  <c r="Y31" i="5"/>
  <c r="Y22" i="5"/>
  <c r="AG83" i="5"/>
  <c r="AG79" i="5"/>
  <c r="AG75" i="5"/>
  <c r="AG71" i="5"/>
  <c r="AG67" i="5"/>
  <c r="AG64" i="5"/>
  <c r="AG59" i="5"/>
  <c r="AG55" i="5"/>
  <c r="AG52" i="5"/>
  <c r="AG47" i="5"/>
  <c r="AG40" i="5"/>
  <c r="AG36" i="5"/>
  <c r="AG30" i="5"/>
  <c r="AG26" i="5"/>
  <c r="AG24" i="5"/>
  <c r="AG19" i="5"/>
  <c r="AG15" i="5"/>
  <c r="AG11" i="5"/>
  <c r="AG6" i="5"/>
  <c r="AO83" i="5"/>
  <c r="AO79" i="5"/>
  <c r="AO75" i="5"/>
  <c r="AO71" i="5"/>
  <c r="AO67" i="5"/>
  <c r="AO64" i="5"/>
  <c r="AO59" i="5"/>
  <c r="AO55" i="5"/>
  <c r="AO52" i="5"/>
  <c r="AO47" i="5"/>
  <c r="AO40" i="5"/>
  <c r="AO36" i="5"/>
  <c r="AO84" i="5"/>
  <c r="AO80" i="5"/>
  <c r="AO77" i="5"/>
  <c r="AO72" i="5"/>
  <c r="AO68" i="5"/>
  <c r="AO63" i="5"/>
  <c r="AO60" i="5"/>
  <c r="AO30" i="5"/>
  <c r="AO26" i="5"/>
  <c r="AO24" i="5"/>
  <c r="AO19" i="5"/>
  <c r="AO15" i="5"/>
  <c r="AO11" i="5"/>
  <c r="AO6" i="5"/>
  <c r="AW82" i="5"/>
  <c r="AW76" i="5"/>
  <c r="AW74" i="5"/>
  <c r="AW70" i="5"/>
  <c r="AW66" i="5"/>
  <c r="AW62" i="5"/>
  <c r="AW58" i="5"/>
  <c r="AW35" i="5"/>
  <c r="AW51" i="5"/>
  <c r="AW46" i="5"/>
  <c r="AW43" i="5"/>
  <c r="AW39" i="5"/>
  <c r="AW34" i="5"/>
  <c r="AW29" i="5"/>
  <c r="AW31" i="5"/>
  <c r="AW22" i="5"/>
  <c r="AW18" i="5"/>
  <c r="AW14" i="5"/>
  <c r="AW10" i="5"/>
  <c r="AW5" i="5"/>
  <c r="BO84" i="5"/>
  <c r="BO80" i="5"/>
  <c r="BO77" i="5"/>
  <c r="BO72" i="5"/>
  <c r="BO68" i="5"/>
  <c r="BO63" i="5"/>
  <c r="BO60" i="5"/>
  <c r="BO56" i="5"/>
  <c r="BO53" i="5"/>
  <c r="BO48" i="5"/>
  <c r="BO44" i="5"/>
  <c r="BO41" i="5"/>
  <c r="BO37" i="5"/>
  <c r="BO32" i="5"/>
  <c r="BO27" i="5"/>
  <c r="BO23" i="5"/>
  <c r="BO20" i="5"/>
  <c r="BO16" i="5"/>
  <c r="Y81" i="5"/>
  <c r="Y78" i="5"/>
  <c r="Y73" i="5"/>
  <c r="Y69" i="5"/>
  <c r="Y65" i="5"/>
  <c r="Y61" i="5"/>
  <c r="Y57" i="5"/>
  <c r="Y54" i="5"/>
  <c r="Y49" i="5"/>
  <c r="Y45" i="5"/>
  <c r="Y42" i="5"/>
  <c r="Y38" i="5"/>
  <c r="Y33" i="5"/>
  <c r="Y28" i="5"/>
  <c r="Y25" i="5"/>
  <c r="Y21" i="5"/>
  <c r="Y17" i="5"/>
  <c r="Y13" i="5"/>
  <c r="Y9" i="5"/>
  <c r="Y4" i="5"/>
  <c r="AO18" i="5"/>
  <c r="AO10" i="5"/>
  <c r="AW81" i="5"/>
  <c r="AW73" i="5"/>
  <c r="AW65" i="5"/>
  <c r="AW57" i="5"/>
  <c r="AW49" i="5"/>
  <c r="AW42" i="5"/>
  <c r="AO56" i="5"/>
  <c r="AO53" i="5"/>
  <c r="AO48" i="5"/>
  <c r="AO44" i="5"/>
  <c r="AO41" i="5"/>
  <c r="AO37" i="5"/>
  <c r="AO32" i="5"/>
  <c r="AO27" i="5"/>
  <c r="AO23" i="5"/>
  <c r="AO20" i="5"/>
  <c r="AO16" i="5"/>
  <c r="AO12" i="5"/>
  <c r="AO7" i="5"/>
  <c r="AO3" i="5"/>
  <c r="AW52" i="5"/>
  <c r="AW47" i="5"/>
  <c r="AW40" i="5"/>
  <c r="AW36" i="5"/>
  <c r="AW30" i="5"/>
  <c r="AW26" i="5"/>
  <c r="AW24" i="5"/>
  <c r="AW19" i="5"/>
  <c r="AW15" i="5"/>
  <c r="AW11" i="5"/>
  <c r="AW6" i="5"/>
  <c r="BO12" i="5"/>
  <c r="BO7" i="5"/>
  <c r="BO3" i="5"/>
  <c r="AO76" i="5"/>
  <c r="AO74" i="5"/>
  <c r="AO62" i="5"/>
  <c r="AO35" i="5"/>
  <c r="AO46" i="5"/>
  <c r="AO34" i="5"/>
  <c r="AO29" i="5"/>
  <c r="AO22" i="5"/>
  <c r="AO14" i="5"/>
  <c r="AW25" i="5"/>
  <c r="AW17" i="5"/>
  <c r="AO82" i="5"/>
  <c r="AO70" i="5"/>
  <c r="AO66" i="5"/>
  <c r="AO58" i="5"/>
  <c r="AO51" i="5"/>
  <c r="AO43" i="5"/>
  <c r="AO39" i="5"/>
  <c r="AO31" i="5"/>
  <c r="AO5" i="5"/>
  <c r="AW33" i="5"/>
  <c r="AW9" i="5"/>
  <c r="AO81" i="5"/>
  <c r="AO78" i="5"/>
  <c r="AO73" i="5"/>
  <c r="AO69" i="5"/>
  <c r="AO65" i="5"/>
  <c r="AO61" i="5"/>
  <c r="AO57" i="5"/>
  <c r="AO54" i="5"/>
  <c r="AO49" i="5"/>
  <c r="AO45" i="5"/>
  <c r="AO42" i="5"/>
  <c r="AO38" i="5"/>
  <c r="AO33" i="5"/>
  <c r="AO28" i="5"/>
  <c r="AO25" i="5"/>
  <c r="AO21" i="5"/>
  <c r="AW84" i="5"/>
  <c r="AW80" i="5"/>
  <c r="AW68" i="5"/>
  <c r="AW63" i="5"/>
  <c r="AW48" i="5"/>
  <c r="AW37" i="5"/>
  <c r="AW32" i="5"/>
  <c r="AW20" i="5"/>
  <c r="AW16" i="5"/>
  <c r="AW3" i="5"/>
  <c r="Y83" i="5"/>
  <c r="Y79" i="5"/>
  <c r="Y75" i="5"/>
  <c r="Y71" i="5"/>
  <c r="Y67" i="5"/>
  <c r="Y64" i="5"/>
  <c r="Y59" i="5"/>
  <c r="Y55" i="5"/>
  <c r="Y52" i="5"/>
  <c r="Y47" i="5"/>
  <c r="Y40" i="5"/>
  <c r="Y36" i="5"/>
  <c r="Y30" i="5"/>
  <c r="Y26" i="5"/>
  <c r="Y24" i="5"/>
  <c r="Y19" i="5"/>
  <c r="Y15" i="5"/>
  <c r="Y11" i="5"/>
  <c r="Y6" i="5"/>
  <c r="AG4" i="5"/>
  <c r="AG81" i="5"/>
  <c r="AG78" i="5"/>
  <c r="AG73" i="5"/>
  <c r="AG69" i="5"/>
  <c r="AG65" i="5"/>
  <c r="AG61" i="5"/>
  <c r="AG57" i="5"/>
  <c r="AG54" i="5"/>
  <c r="AG49" i="5"/>
  <c r="AG45" i="5"/>
  <c r="AG42" i="5"/>
  <c r="AG38" i="5"/>
  <c r="AG33" i="5"/>
  <c r="AG28" i="5"/>
  <c r="AG25" i="5"/>
  <c r="AG21" i="5"/>
  <c r="AG17" i="5"/>
  <c r="AG13" i="5"/>
  <c r="AG9" i="5"/>
  <c r="Y84" i="5"/>
  <c r="Y80" i="5"/>
  <c r="Y77" i="5"/>
  <c r="Y72" i="5"/>
  <c r="Y68" i="5"/>
  <c r="Y63" i="5"/>
  <c r="Y60" i="5"/>
  <c r="Y56" i="5"/>
  <c r="Y53" i="5"/>
  <c r="Y48" i="5"/>
  <c r="Y44" i="5"/>
  <c r="Y41" i="5"/>
  <c r="Y37" i="5"/>
  <c r="Y32" i="5"/>
  <c r="Y27" i="5"/>
  <c r="Y23" i="5"/>
  <c r="Y20" i="5"/>
  <c r="Y16" i="5"/>
  <c r="Y12" i="5"/>
  <c r="Y7" i="5"/>
  <c r="Y3" i="5"/>
  <c r="AG82" i="5"/>
  <c r="AG76" i="5"/>
  <c r="AG74" i="5"/>
  <c r="AG70" i="5"/>
  <c r="AG66" i="5"/>
  <c r="AG62" i="5"/>
  <c r="AG58" i="5"/>
  <c r="AG35" i="5"/>
  <c r="AG51" i="5"/>
  <c r="AG46" i="5"/>
  <c r="AG43" i="5"/>
  <c r="AG39" i="5"/>
  <c r="AG34" i="5"/>
  <c r="AG29" i="5"/>
  <c r="AG31" i="5"/>
  <c r="AG22" i="5"/>
  <c r="AG18" i="5"/>
  <c r="AG14" i="5"/>
  <c r="AG10" i="5"/>
  <c r="AG5" i="5"/>
  <c r="AO17" i="5"/>
  <c r="AO13" i="5"/>
  <c r="AO9" i="5"/>
  <c r="AO4" i="5"/>
  <c r="BO83" i="5"/>
  <c r="BO79" i="5"/>
  <c r="BO75" i="5"/>
  <c r="BO71" i="5"/>
  <c r="BO67" i="5"/>
  <c r="BO64" i="5"/>
  <c r="BO59" i="5"/>
  <c r="BO55" i="5"/>
  <c r="BO52" i="5"/>
  <c r="BO47" i="5"/>
  <c r="BO40" i="5"/>
  <c r="BO36" i="5"/>
  <c r="BO30" i="5"/>
  <c r="BO26" i="5"/>
  <c r="BO24" i="5"/>
  <c r="BO19" i="5"/>
  <c r="BO15" i="5"/>
  <c r="BO11" i="5"/>
  <c r="BO6" i="5"/>
  <c r="BO82" i="5"/>
  <c r="BO76" i="5"/>
  <c r="BO74" i="5"/>
  <c r="BO70" i="5"/>
  <c r="BO66" i="5"/>
  <c r="BO62" i="5"/>
  <c r="BO58" i="5"/>
  <c r="BO35" i="5"/>
  <c r="BO51" i="5"/>
  <c r="BO46" i="5"/>
  <c r="BO43" i="5"/>
  <c r="BO39" i="5"/>
  <c r="BO34" i="5"/>
  <c r="BO29" i="5"/>
  <c r="BO31" i="5"/>
  <c r="BO22" i="5"/>
  <c r="BO18" i="5"/>
  <c r="BO14" i="5"/>
  <c r="BO10" i="5"/>
  <c r="BO5" i="5"/>
  <c r="BO81" i="5"/>
  <c r="BO78" i="5"/>
  <c r="BO73" i="5"/>
  <c r="BO69" i="5"/>
  <c r="BO65" i="5"/>
  <c r="BO61" i="5"/>
  <c r="BO57" i="5"/>
  <c r="BO54" i="5"/>
  <c r="BO49" i="5"/>
  <c r="BO45" i="5"/>
  <c r="BO42" i="5"/>
  <c r="BO38" i="5"/>
  <c r="BO33" i="5"/>
  <c r="BO28" i="5"/>
  <c r="BO25" i="5"/>
  <c r="BO21" i="5"/>
  <c r="BO17" i="5"/>
  <c r="BO13" i="5"/>
  <c r="BO9" i="5"/>
  <c r="BO4" i="5"/>
  <c r="BB6" i="5"/>
  <c r="BE6" i="5" s="1"/>
  <c r="BB5" i="5"/>
  <c r="BE5" i="5" s="1"/>
  <c r="AT77" i="5"/>
  <c r="AW77" i="5" s="1"/>
  <c r="AT56" i="5"/>
  <c r="AW56" i="5" s="1"/>
  <c r="AT44" i="5"/>
  <c r="AW44" i="5" s="1"/>
  <c r="AT23" i="5"/>
  <c r="AW23" i="5" s="1"/>
  <c r="AT12" i="5"/>
  <c r="AW12" i="5" s="1"/>
  <c r="AT72" i="5"/>
  <c r="AW72" i="5" s="1"/>
  <c r="AT60" i="5"/>
  <c r="AW60" i="5" s="1"/>
  <c r="AT41" i="5"/>
  <c r="AW41" i="5" s="1"/>
  <c r="AT27" i="5"/>
  <c r="AW27" i="5" s="1"/>
  <c r="AT7" i="5"/>
  <c r="AW7" i="5" s="1"/>
  <c r="AT78" i="5"/>
  <c r="AW78" i="5" s="1"/>
  <c r="AT69" i="5"/>
  <c r="AW69" i="5" s="1"/>
  <c r="AT61" i="5"/>
  <c r="AW61" i="5" s="1"/>
  <c r="AT54" i="5"/>
  <c r="AW54" i="5" s="1"/>
  <c r="AT45" i="5"/>
  <c r="AW45" i="5" s="1"/>
  <c r="AT38" i="5"/>
  <c r="AW38" i="5" s="1"/>
  <c r="AT28" i="5"/>
  <c r="AW28" i="5" s="1"/>
  <c r="AT21" i="5"/>
  <c r="AW21" i="5" s="1"/>
  <c r="AT13" i="5"/>
  <c r="AW13" i="5" s="1"/>
  <c r="AT4" i="5"/>
  <c r="AW4" i="5" s="1"/>
  <c r="AT83" i="5"/>
  <c r="AW83" i="5" s="1"/>
  <c r="AT79" i="5"/>
  <c r="AW79" i="5" s="1"/>
  <c r="AT75" i="5"/>
  <c r="AW75" i="5" s="1"/>
  <c r="AT71" i="5"/>
  <c r="AW71" i="5" s="1"/>
  <c r="AT67" i="5"/>
  <c r="AW67" i="5" s="1"/>
  <c r="AT64" i="5"/>
  <c r="AW64" i="5" s="1"/>
  <c r="AT59" i="5"/>
  <c r="AW59" i="5" s="1"/>
  <c r="AT55" i="5"/>
  <c r="AW55" i="5" s="1"/>
  <c r="V5" i="5"/>
  <c r="Y5" i="5" s="1"/>
  <c r="V10" i="5"/>
  <c r="Y10" i="5" s="1"/>
  <c r="V18" i="5"/>
  <c r="Y18" i="5" s="1"/>
  <c r="V14" i="5"/>
  <c r="Y14" i="5" s="1"/>
  <c r="N3" i="5"/>
  <c r="Q3" i="5" s="1"/>
  <c r="N6" i="5"/>
  <c r="N7" i="5"/>
  <c r="N9" i="5"/>
  <c r="N13" i="5"/>
  <c r="N14" i="5"/>
  <c r="N16" i="5"/>
  <c r="N18" i="5"/>
  <c r="N20" i="5"/>
  <c r="N21" i="5"/>
  <c r="N26" i="5"/>
  <c r="N30" i="5"/>
  <c r="N32" i="5"/>
  <c r="N34" i="5"/>
  <c r="N39" i="5"/>
  <c r="N41" i="5"/>
  <c r="N42" i="5"/>
  <c r="N44" i="5"/>
  <c r="N45" i="5"/>
  <c r="N46" i="5"/>
  <c r="N47" i="5"/>
  <c r="N48" i="5"/>
  <c r="N49" i="5"/>
  <c r="N51" i="5"/>
  <c r="N52" i="5"/>
  <c r="N35" i="5"/>
  <c r="N55" i="5"/>
  <c r="N60" i="5"/>
  <c r="N62" i="5"/>
  <c r="N65" i="5"/>
  <c r="N66" i="5"/>
  <c r="N69" i="5"/>
  <c r="N72" i="5"/>
  <c r="N73" i="5"/>
  <c r="N76" i="5"/>
  <c r="N82" i="5"/>
  <c r="N83" i="5"/>
  <c r="N84" i="5"/>
  <c r="O4" i="5"/>
  <c r="O5" i="5"/>
  <c r="O6" i="5"/>
  <c r="O7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4" i="5"/>
  <c r="O23" i="5"/>
  <c r="O25" i="5"/>
  <c r="O31" i="5"/>
  <c r="O26" i="5"/>
  <c r="O27" i="5"/>
  <c r="O28" i="5"/>
  <c r="O29" i="5"/>
  <c r="O30" i="5"/>
  <c r="O32" i="5"/>
  <c r="O33" i="5"/>
  <c r="O34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1" i="5"/>
  <c r="O52" i="5"/>
  <c r="O53" i="5"/>
  <c r="O54" i="5"/>
  <c r="O35" i="5"/>
  <c r="O55" i="5"/>
  <c r="O56" i="5"/>
  <c r="O57" i="5"/>
  <c r="O58" i="5"/>
  <c r="O59" i="5"/>
  <c r="O60" i="5"/>
  <c r="O61" i="5"/>
  <c r="O62" i="5"/>
  <c r="O64" i="5"/>
  <c r="O63" i="5"/>
  <c r="O65" i="5"/>
  <c r="O66" i="5"/>
  <c r="O67" i="5"/>
  <c r="O68" i="5"/>
  <c r="O69" i="5"/>
  <c r="O70" i="5"/>
  <c r="O71" i="5"/>
  <c r="O72" i="5"/>
  <c r="O73" i="5"/>
  <c r="O74" i="5"/>
  <c r="O75" i="5"/>
  <c r="O77" i="5"/>
  <c r="O78" i="5"/>
  <c r="O76" i="5"/>
  <c r="O79" i="5"/>
  <c r="O80" i="5"/>
  <c r="O81" i="5"/>
  <c r="O82" i="5"/>
  <c r="O83" i="5"/>
  <c r="O84" i="5"/>
  <c r="G4" i="5"/>
  <c r="F3" i="5"/>
  <c r="F5" i="5"/>
  <c r="F6" i="5"/>
  <c r="F7" i="5"/>
  <c r="F9" i="5"/>
  <c r="F13" i="5"/>
  <c r="F14" i="5"/>
  <c r="F16" i="5"/>
  <c r="F18" i="5"/>
  <c r="F20" i="5"/>
  <c r="F21" i="5"/>
  <c r="F26" i="5"/>
  <c r="F30" i="5"/>
  <c r="F32" i="5"/>
  <c r="F34" i="5"/>
  <c r="F39" i="5"/>
  <c r="F41" i="5"/>
  <c r="F42" i="5"/>
  <c r="F44" i="5"/>
  <c r="F45" i="5"/>
  <c r="F46" i="5"/>
  <c r="F48" i="5"/>
  <c r="F49" i="5"/>
  <c r="F51" i="5"/>
  <c r="F52" i="5"/>
  <c r="F54" i="5"/>
  <c r="F35" i="5"/>
  <c r="F55" i="5"/>
  <c r="F56" i="5"/>
  <c r="F60" i="5"/>
  <c r="F61" i="5"/>
  <c r="F62" i="5"/>
  <c r="F65" i="5"/>
  <c r="F66" i="5"/>
  <c r="F69" i="5"/>
  <c r="F71" i="5"/>
  <c r="F72" i="5"/>
  <c r="F75" i="5"/>
  <c r="F77" i="5"/>
  <c r="F76" i="5"/>
  <c r="F82" i="5"/>
  <c r="F83" i="5"/>
  <c r="F84" i="5"/>
  <c r="D6" i="6"/>
  <c r="D5" i="6"/>
  <c r="N15" i="5" s="1"/>
  <c r="D4" i="6"/>
  <c r="N11" i="5" s="1"/>
  <c r="D3" i="6"/>
  <c r="F63" i="5" s="1"/>
  <c r="D2" i="6"/>
  <c r="F12" i="5" s="1"/>
  <c r="G3" i="5"/>
  <c r="G5" i="5"/>
  <c r="G6" i="5"/>
  <c r="G7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4" i="5"/>
  <c r="G23" i="5"/>
  <c r="G25" i="5"/>
  <c r="G31" i="5"/>
  <c r="G26" i="5"/>
  <c r="G27" i="5"/>
  <c r="G28" i="5"/>
  <c r="G29" i="5"/>
  <c r="G30" i="5"/>
  <c r="G32" i="5"/>
  <c r="G33" i="5"/>
  <c r="G34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1" i="5"/>
  <c r="G52" i="5"/>
  <c r="G53" i="5"/>
  <c r="G54" i="5"/>
  <c r="G35" i="5"/>
  <c r="G55" i="5"/>
  <c r="G56" i="5"/>
  <c r="G57" i="5"/>
  <c r="G58" i="5"/>
  <c r="G59" i="5"/>
  <c r="G60" i="5"/>
  <c r="G61" i="5"/>
  <c r="G62" i="5"/>
  <c r="G64" i="5"/>
  <c r="G63" i="5"/>
  <c r="G65" i="5"/>
  <c r="G66" i="5"/>
  <c r="G67" i="5"/>
  <c r="G68" i="5"/>
  <c r="G69" i="5"/>
  <c r="G70" i="5"/>
  <c r="G71" i="5"/>
  <c r="G72" i="5"/>
  <c r="G73" i="5"/>
  <c r="G74" i="5"/>
  <c r="G75" i="5"/>
  <c r="G77" i="5"/>
  <c r="G78" i="5"/>
  <c r="G76" i="5"/>
  <c r="G79" i="5"/>
  <c r="G80" i="5"/>
  <c r="G81" i="5"/>
  <c r="G82" i="5"/>
  <c r="G83" i="5"/>
  <c r="G84" i="5"/>
  <c r="C10" i="2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2" i="4"/>
  <c r="C5" i="2"/>
  <c r="C6" i="2"/>
  <c r="C7" i="2"/>
  <c r="C8" i="2"/>
  <c r="C9" i="2"/>
  <c r="C4" i="2"/>
  <c r="V86" i="5" l="1"/>
  <c r="X86" i="5" s="1"/>
  <c r="Q15" i="5"/>
  <c r="Q11" i="5"/>
  <c r="I83" i="5"/>
  <c r="I75" i="5"/>
  <c r="I66" i="5"/>
  <c r="I60" i="5"/>
  <c r="I54" i="5"/>
  <c r="I48" i="5"/>
  <c r="I34" i="5"/>
  <c r="I21" i="5"/>
  <c r="I14" i="5"/>
  <c r="I6" i="5"/>
  <c r="I82" i="5"/>
  <c r="I72" i="5"/>
  <c r="I65" i="5"/>
  <c r="I56" i="5"/>
  <c r="I52" i="5"/>
  <c r="I46" i="5"/>
  <c r="I42" i="5"/>
  <c r="I32" i="5"/>
  <c r="I20" i="5"/>
  <c r="I13" i="5"/>
  <c r="I5" i="5"/>
  <c r="I12" i="5"/>
  <c r="I76" i="5"/>
  <c r="I71" i="5"/>
  <c r="I62" i="5"/>
  <c r="I55" i="5"/>
  <c r="I51" i="5"/>
  <c r="I45" i="5"/>
  <c r="I41" i="5"/>
  <c r="I30" i="5"/>
  <c r="I18" i="5"/>
  <c r="I9" i="5"/>
  <c r="I3" i="5"/>
  <c r="BZ3" i="5" s="1"/>
  <c r="I63" i="5"/>
  <c r="I84" i="5"/>
  <c r="I77" i="5"/>
  <c r="I69" i="5"/>
  <c r="I61" i="5"/>
  <c r="I35" i="5"/>
  <c r="I49" i="5"/>
  <c r="I44" i="5"/>
  <c r="I39" i="5"/>
  <c r="I26" i="5"/>
  <c r="I16" i="5"/>
  <c r="I7" i="5"/>
  <c r="Q83" i="5"/>
  <c r="Q72" i="5"/>
  <c r="Q62" i="5"/>
  <c r="Q52" i="5"/>
  <c r="Q47" i="5"/>
  <c r="Q34" i="5"/>
  <c r="Q21" i="5"/>
  <c r="Q14" i="5"/>
  <c r="Q6" i="5"/>
  <c r="Q82" i="5"/>
  <c r="Q69" i="5"/>
  <c r="Q60" i="5"/>
  <c r="Q51" i="5"/>
  <c r="Q46" i="5"/>
  <c r="Q42" i="5"/>
  <c r="Q32" i="5"/>
  <c r="Q20" i="5"/>
  <c r="Q13" i="5"/>
  <c r="Q76" i="5"/>
  <c r="Q66" i="5"/>
  <c r="Q55" i="5"/>
  <c r="Q49" i="5"/>
  <c r="Q45" i="5"/>
  <c r="Q41" i="5"/>
  <c r="Q30" i="5"/>
  <c r="Q18" i="5"/>
  <c r="Q9" i="5"/>
  <c r="Q84" i="5"/>
  <c r="Q73" i="5"/>
  <c r="Q65" i="5"/>
  <c r="Q35" i="5"/>
  <c r="Q48" i="5"/>
  <c r="Q44" i="5"/>
  <c r="Q39" i="5"/>
  <c r="Q26" i="5"/>
  <c r="Q16" i="5"/>
  <c r="Q7" i="5"/>
  <c r="F79" i="5"/>
  <c r="I79" i="5" s="1"/>
  <c r="F67" i="5"/>
  <c r="I67" i="5" s="1"/>
  <c r="F64" i="5"/>
  <c r="I64" i="5" s="1"/>
  <c r="F59" i="5"/>
  <c r="I59" i="5" s="1"/>
  <c r="F47" i="5"/>
  <c r="I47" i="5" s="1"/>
  <c r="BZ47" i="5" s="1"/>
  <c r="F40" i="5"/>
  <c r="I40" i="5" s="1"/>
  <c r="F36" i="5"/>
  <c r="I36" i="5" s="1"/>
  <c r="F24" i="5"/>
  <c r="I24" i="5" s="1"/>
  <c r="F19" i="5"/>
  <c r="I19" i="5" s="1"/>
  <c r="F15" i="5"/>
  <c r="I15" i="5" s="1"/>
  <c r="F11" i="5"/>
  <c r="I11" i="5" s="1"/>
  <c r="BZ11" i="5" s="1"/>
  <c r="N74" i="5"/>
  <c r="Q74" i="5" s="1"/>
  <c r="N70" i="5"/>
  <c r="Q70" i="5" s="1"/>
  <c r="N58" i="5"/>
  <c r="Q58" i="5" s="1"/>
  <c r="N43" i="5"/>
  <c r="Q43" i="5" s="1"/>
  <c r="N29" i="5"/>
  <c r="Q29" i="5" s="1"/>
  <c r="N31" i="5"/>
  <c r="Q31" i="5" s="1"/>
  <c r="N22" i="5"/>
  <c r="Q22" i="5" s="1"/>
  <c r="N10" i="5"/>
  <c r="Q10" i="5" s="1"/>
  <c r="N5" i="5"/>
  <c r="Q5" i="5" s="1"/>
  <c r="F74" i="5"/>
  <c r="I74" i="5" s="1"/>
  <c r="F70" i="5"/>
  <c r="I70" i="5" s="1"/>
  <c r="BZ70" i="5" s="1"/>
  <c r="F58" i="5"/>
  <c r="I58" i="5" s="1"/>
  <c r="BZ58" i="5" s="1"/>
  <c r="F43" i="5"/>
  <c r="I43" i="5" s="1"/>
  <c r="F29" i="5"/>
  <c r="I29" i="5" s="1"/>
  <c r="F31" i="5"/>
  <c r="I31" i="5" s="1"/>
  <c r="BZ31" i="5" s="1"/>
  <c r="F22" i="5"/>
  <c r="I22" i="5" s="1"/>
  <c r="BZ22" i="5" s="1"/>
  <c r="F10" i="5"/>
  <c r="I10" i="5" s="1"/>
  <c r="F4" i="5"/>
  <c r="I4" i="5" s="1"/>
  <c r="N81" i="5"/>
  <c r="Q81" i="5" s="1"/>
  <c r="N78" i="5"/>
  <c r="Q78" i="5" s="1"/>
  <c r="N61" i="5"/>
  <c r="Q61" i="5" s="1"/>
  <c r="N57" i="5"/>
  <c r="Q57" i="5" s="1"/>
  <c r="N54" i="5"/>
  <c r="Q54" i="5" s="1"/>
  <c r="N38" i="5"/>
  <c r="Q38" i="5" s="1"/>
  <c r="N33" i="5"/>
  <c r="Q33" i="5" s="1"/>
  <c r="N28" i="5"/>
  <c r="Q28" i="5" s="1"/>
  <c r="N25" i="5"/>
  <c r="Q25" i="5" s="1"/>
  <c r="N17" i="5"/>
  <c r="Q17" i="5" s="1"/>
  <c r="F81" i="5"/>
  <c r="I81" i="5" s="1"/>
  <c r="F78" i="5"/>
  <c r="I78" i="5" s="1"/>
  <c r="F73" i="5"/>
  <c r="I73" i="5" s="1"/>
  <c r="BZ73" i="5" s="1"/>
  <c r="F57" i="5"/>
  <c r="I57" i="5" s="1"/>
  <c r="BZ57" i="5" s="1"/>
  <c r="F38" i="5"/>
  <c r="I38" i="5" s="1"/>
  <c r="F33" i="5"/>
  <c r="I33" i="5" s="1"/>
  <c r="F28" i="5"/>
  <c r="I28" i="5" s="1"/>
  <c r="BZ28" i="5" s="1"/>
  <c r="F25" i="5"/>
  <c r="I25" i="5" s="1"/>
  <c r="BZ25" i="5" s="1"/>
  <c r="F17" i="5"/>
  <c r="I17" i="5" s="1"/>
  <c r="N80" i="5"/>
  <c r="Q80" i="5" s="1"/>
  <c r="N77" i="5"/>
  <c r="Q77" i="5" s="1"/>
  <c r="N68" i="5"/>
  <c r="Q68" i="5" s="1"/>
  <c r="N63" i="5"/>
  <c r="Q63" i="5" s="1"/>
  <c r="N56" i="5"/>
  <c r="Q56" i="5" s="1"/>
  <c r="N53" i="5"/>
  <c r="Q53" i="5" s="1"/>
  <c r="N37" i="5"/>
  <c r="Q37" i="5" s="1"/>
  <c r="N27" i="5"/>
  <c r="Q27" i="5" s="1"/>
  <c r="N23" i="5"/>
  <c r="Q23" i="5" s="1"/>
  <c r="N12" i="5"/>
  <c r="Q12" i="5" s="1"/>
  <c r="F80" i="5"/>
  <c r="I80" i="5" s="1"/>
  <c r="BZ80" i="5" s="1"/>
  <c r="F68" i="5"/>
  <c r="I68" i="5" s="1"/>
  <c r="F53" i="5"/>
  <c r="I53" i="5" s="1"/>
  <c r="F37" i="5"/>
  <c r="I37" i="5" s="1"/>
  <c r="F27" i="5"/>
  <c r="I27" i="5" s="1"/>
  <c r="BZ27" i="5" s="1"/>
  <c r="F23" i="5"/>
  <c r="I23" i="5" s="1"/>
  <c r="N79" i="5"/>
  <c r="Q79" i="5" s="1"/>
  <c r="N75" i="5"/>
  <c r="Q75" i="5" s="1"/>
  <c r="N71" i="5"/>
  <c r="Q71" i="5" s="1"/>
  <c r="N67" i="5"/>
  <c r="Q67" i="5" s="1"/>
  <c r="N64" i="5"/>
  <c r="Q64" i="5" s="1"/>
  <c r="N59" i="5"/>
  <c r="Q59" i="5" s="1"/>
  <c r="N40" i="5"/>
  <c r="Q40" i="5" s="1"/>
  <c r="N36" i="5"/>
  <c r="Q36" i="5" s="1"/>
  <c r="N24" i="5"/>
  <c r="Q24" i="5" s="1"/>
  <c r="N19" i="5"/>
  <c r="Q19" i="5" s="1"/>
  <c r="BZ33" i="5" l="1"/>
  <c r="BZ29" i="5"/>
  <c r="BZ23" i="5"/>
  <c r="BZ36" i="5"/>
  <c r="BZ64" i="5"/>
  <c r="BZ7" i="5"/>
  <c r="BZ44" i="5"/>
  <c r="BZ62" i="5"/>
  <c r="CC62" i="5" s="1"/>
  <c r="BZ5" i="5"/>
  <c r="BZ42" i="5"/>
  <c r="BZ65" i="5"/>
  <c r="BZ54" i="5"/>
  <c r="BZ83" i="5"/>
  <c r="BZ67" i="5"/>
  <c r="BZ49" i="5"/>
  <c r="BZ13" i="5"/>
  <c r="CC13" i="5" s="1"/>
  <c r="BZ46" i="5"/>
  <c r="BZ72" i="5"/>
  <c r="CC72" i="5" s="1"/>
  <c r="BZ74" i="5"/>
  <c r="BZ69" i="5"/>
  <c r="BZ41" i="5"/>
  <c r="BZ14" i="5"/>
  <c r="BZ37" i="5"/>
  <c r="CC37" i="5" s="1"/>
  <c r="BZ15" i="5"/>
  <c r="BZ40" i="5"/>
  <c r="CC40" i="5" s="1"/>
  <c r="BZ9" i="5"/>
  <c r="BZ71" i="5"/>
  <c r="BZ21" i="5"/>
  <c r="BZ60" i="5"/>
  <c r="CC60" i="5" s="1"/>
  <c r="BZ53" i="5"/>
  <c r="CC53" i="5" s="1"/>
  <c r="BZ78" i="5"/>
  <c r="BZ19" i="5"/>
  <c r="BZ79" i="5"/>
  <c r="CC79" i="5" s="1"/>
  <c r="BZ26" i="5"/>
  <c r="BZ35" i="5"/>
  <c r="BZ84" i="5"/>
  <c r="BZ18" i="5"/>
  <c r="CC18" i="5" s="1"/>
  <c r="BZ51" i="5"/>
  <c r="BZ76" i="5"/>
  <c r="BZ20" i="5"/>
  <c r="BZ52" i="5"/>
  <c r="BZ82" i="5"/>
  <c r="BZ34" i="5"/>
  <c r="BZ66" i="5"/>
  <c r="BZ16" i="5"/>
  <c r="BZ77" i="5"/>
  <c r="CC77" i="5" s="1"/>
  <c r="BZ45" i="5"/>
  <c r="CC45" i="5" s="1"/>
  <c r="BZ68" i="5"/>
  <c r="BZ17" i="5"/>
  <c r="BZ38" i="5"/>
  <c r="BZ81" i="5"/>
  <c r="CC81" i="5" s="1"/>
  <c r="BZ10" i="5"/>
  <c r="BZ43" i="5"/>
  <c r="BZ24" i="5"/>
  <c r="CC24" i="5" s="1"/>
  <c r="BZ59" i="5"/>
  <c r="BZ39" i="5"/>
  <c r="BZ61" i="5"/>
  <c r="BZ63" i="5"/>
  <c r="BZ30" i="5"/>
  <c r="BZ55" i="5"/>
  <c r="BZ12" i="5"/>
  <c r="CC12" i="5" s="1"/>
  <c r="BZ32" i="5"/>
  <c r="CC32" i="5" s="1"/>
  <c r="BZ56" i="5"/>
  <c r="BZ6" i="5"/>
  <c r="BZ48" i="5"/>
  <c r="CC48" i="5" s="1"/>
  <c r="BZ75" i="5"/>
  <c r="W120" i="5"/>
  <c r="X120" i="5" s="1"/>
  <c r="W124" i="5"/>
  <c r="X124" i="5" s="1"/>
  <c r="W128" i="5"/>
  <c r="X128" i="5" s="1"/>
  <c r="W132" i="5"/>
  <c r="X132" i="5" s="1"/>
  <c r="W136" i="5"/>
  <c r="X136" i="5" s="1"/>
  <c r="W140" i="5"/>
  <c r="X140" i="5" s="1"/>
  <c r="W144" i="5"/>
  <c r="X144" i="5" s="1"/>
  <c r="W148" i="5"/>
  <c r="X148" i="5" s="1"/>
  <c r="W152" i="5"/>
  <c r="X152" i="5" s="1"/>
  <c r="W156" i="5"/>
  <c r="X156" i="5" s="1"/>
  <c r="W160" i="5"/>
  <c r="X160" i="5" s="1"/>
  <c r="W164" i="5"/>
  <c r="X164" i="5" s="1"/>
  <c r="W168" i="5"/>
  <c r="X168" i="5" s="1"/>
  <c r="W97" i="5"/>
  <c r="X97" i="5" s="1"/>
  <c r="W101" i="5"/>
  <c r="X101" i="5" s="1"/>
  <c r="W105" i="5"/>
  <c r="X105" i="5" s="1"/>
  <c r="W109" i="5"/>
  <c r="X109" i="5" s="1"/>
  <c r="W113" i="5"/>
  <c r="X113" i="5" s="1"/>
  <c r="W117" i="5"/>
  <c r="X117" i="5" s="1"/>
  <c r="W92" i="5"/>
  <c r="X92" i="5" s="1"/>
  <c r="W122" i="5"/>
  <c r="X122" i="5" s="1"/>
  <c r="W126" i="5"/>
  <c r="X126" i="5" s="1"/>
  <c r="W130" i="5"/>
  <c r="X130" i="5" s="1"/>
  <c r="W134" i="5"/>
  <c r="X134" i="5" s="1"/>
  <c r="W138" i="5"/>
  <c r="X138" i="5" s="1"/>
  <c r="W142" i="5"/>
  <c r="X142" i="5" s="1"/>
  <c r="W146" i="5"/>
  <c r="X146" i="5" s="1"/>
  <c r="W150" i="5"/>
  <c r="X150" i="5" s="1"/>
  <c r="W154" i="5"/>
  <c r="X154" i="5" s="1"/>
  <c r="W158" i="5"/>
  <c r="X158" i="5" s="1"/>
  <c r="W162" i="5"/>
  <c r="X162" i="5" s="1"/>
  <c r="W166" i="5"/>
  <c r="X166" i="5" s="1"/>
  <c r="W170" i="5"/>
  <c r="X170" i="5" s="1"/>
  <c r="W121" i="5"/>
  <c r="X121" i="5" s="1"/>
  <c r="W125" i="5"/>
  <c r="X125" i="5" s="1"/>
  <c r="W129" i="5"/>
  <c r="X129" i="5" s="1"/>
  <c r="W133" i="5"/>
  <c r="X133" i="5" s="1"/>
  <c r="W137" i="5"/>
  <c r="X137" i="5" s="1"/>
  <c r="W141" i="5"/>
  <c r="X141" i="5" s="1"/>
  <c r="W145" i="5"/>
  <c r="X145" i="5" s="1"/>
  <c r="W149" i="5"/>
  <c r="X149" i="5" s="1"/>
  <c r="W153" i="5"/>
  <c r="X153" i="5" s="1"/>
  <c r="W157" i="5"/>
  <c r="X157" i="5" s="1"/>
  <c r="W161" i="5"/>
  <c r="X161" i="5" s="1"/>
  <c r="W165" i="5"/>
  <c r="X165" i="5" s="1"/>
  <c r="W169" i="5"/>
  <c r="X169" i="5" s="1"/>
  <c r="W98" i="5"/>
  <c r="X98" i="5" s="1"/>
  <c r="W102" i="5"/>
  <c r="X102" i="5" s="1"/>
  <c r="W106" i="5"/>
  <c r="X106" i="5" s="1"/>
  <c r="W110" i="5"/>
  <c r="X110" i="5" s="1"/>
  <c r="W114" i="5"/>
  <c r="X114" i="5" s="1"/>
  <c r="W95" i="5"/>
  <c r="X95" i="5" s="1"/>
  <c r="W93" i="5"/>
  <c r="X93" i="5" s="1"/>
  <c r="W118" i="5"/>
  <c r="X118" i="5" s="1"/>
  <c r="W123" i="5"/>
  <c r="X123" i="5" s="1"/>
  <c r="W139" i="5"/>
  <c r="X139" i="5" s="1"/>
  <c r="W155" i="5"/>
  <c r="X155" i="5" s="1"/>
  <c r="W171" i="5"/>
  <c r="X171" i="5" s="1"/>
  <c r="W103" i="5"/>
  <c r="X103" i="5" s="1"/>
  <c r="W111" i="5"/>
  <c r="X111" i="5" s="1"/>
  <c r="W96" i="5"/>
  <c r="X96" i="5" s="1"/>
  <c r="W127" i="5"/>
  <c r="X127" i="5" s="1"/>
  <c r="W143" i="5"/>
  <c r="X143" i="5" s="1"/>
  <c r="W159" i="5"/>
  <c r="X159" i="5" s="1"/>
  <c r="W104" i="5"/>
  <c r="X104" i="5" s="1"/>
  <c r="W112" i="5"/>
  <c r="X112" i="5" s="1"/>
  <c r="W91" i="5"/>
  <c r="X91" i="5" s="1"/>
  <c r="W131" i="5"/>
  <c r="X131" i="5" s="1"/>
  <c r="W147" i="5"/>
  <c r="X147" i="5" s="1"/>
  <c r="W163" i="5"/>
  <c r="X163" i="5" s="1"/>
  <c r="W99" i="5"/>
  <c r="X99" i="5" s="1"/>
  <c r="W107" i="5"/>
  <c r="X107" i="5" s="1"/>
  <c r="W115" i="5"/>
  <c r="X115" i="5" s="1"/>
  <c r="W94" i="5"/>
  <c r="X94" i="5" s="1"/>
  <c r="W119" i="5"/>
  <c r="X119" i="5" s="1"/>
  <c r="W135" i="5"/>
  <c r="X135" i="5" s="1"/>
  <c r="W151" i="5"/>
  <c r="X151" i="5" s="1"/>
  <c r="W167" i="5"/>
  <c r="X167" i="5" s="1"/>
  <c r="W100" i="5"/>
  <c r="X100" i="5" s="1"/>
  <c r="W108" i="5"/>
  <c r="X108" i="5" s="1"/>
  <c r="W116" i="5"/>
  <c r="X116" i="5" s="1"/>
  <c r="W90" i="5"/>
  <c r="X90" i="5" s="1"/>
  <c r="CC15" i="5"/>
  <c r="CC22" i="5"/>
  <c r="CC11" i="5"/>
  <c r="CC47" i="5"/>
  <c r="CC58" i="5"/>
  <c r="CC23" i="5"/>
  <c r="CC27" i="5"/>
  <c r="CC80" i="5"/>
  <c r="CC25" i="5"/>
  <c r="CC57" i="5"/>
  <c r="CC43" i="5"/>
  <c r="CC29" i="5"/>
  <c r="CC28" i="5"/>
  <c r="CC64" i="5"/>
  <c r="CC63" i="5"/>
  <c r="CC33" i="5"/>
  <c r="CC31" i="5"/>
  <c r="CC70" i="5"/>
  <c r="CC44" i="5"/>
  <c r="CC69" i="5"/>
  <c r="CC5" i="5"/>
  <c r="CC65" i="5"/>
  <c r="CC49" i="5"/>
  <c r="CC21" i="5"/>
  <c r="CC54" i="5"/>
  <c r="N4" i="5"/>
  <c r="Q4" i="5" s="1"/>
  <c r="BZ4" i="5" s="1"/>
  <c r="CC42" i="5" l="1"/>
  <c r="CC84" i="5"/>
  <c r="CC7" i="5"/>
  <c r="CC35" i="5"/>
  <c r="CC73" i="5"/>
  <c r="CC83" i="5"/>
  <c r="CC39" i="5"/>
  <c r="CC6" i="5"/>
  <c r="CC76" i="5"/>
  <c r="CC14" i="5"/>
  <c r="CC36" i="5"/>
  <c r="CC55" i="5"/>
  <c r="CC52" i="5"/>
  <c r="CC68" i="5"/>
  <c r="CC71" i="5"/>
  <c r="CC16" i="5"/>
  <c r="CC41" i="5"/>
  <c r="CC26" i="5"/>
  <c r="CB3" i="5"/>
  <c r="CC67" i="5"/>
  <c r="CC9" i="5"/>
  <c r="CC10" i="5"/>
  <c r="CC20" i="5"/>
  <c r="CC46" i="5"/>
  <c r="CC66" i="5"/>
  <c r="CC30" i="5"/>
  <c r="CC34" i="5"/>
  <c r="CC59" i="5"/>
  <c r="CC75" i="5"/>
  <c r="CC61" i="5"/>
  <c r="CC82" i="5"/>
  <c r="CC51" i="5"/>
  <c r="CC74" i="5"/>
  <c r="CC17" i="5"/>
  <c r="CC38" i="5"/>
  <c r="CC3" i="5"/>
  <c r="CC19" i="5"/>
  <c r="CC56" i="5"/>
  <c r="CC78" i="5"/>
  <c r="CB15" i="5"/>
  <c r="CB11" i="5"/>
  <c r="CB47" i="5"/>
  <c r="CB22" i="5"/>
  <c r="CB54" i="5"/>
  <c r="CB13" i="5"/>
  <c r="CB77" i="5"/>
  <c r="CB19" i="5"/>
  <c r="CB65" i="5"/>
  <c r="CB41" i="5"/>
  <c r="CB67" i="5"/>
  <c r="CB33" i="5"/>
  <c r="CB56" i="5"/>
  <c r="CB30" i="5"/>
  <c r="CB64" i="5"/>
  <c r="CB60" i="5"/>
  <c r="CB20" i="5"/>
  <c r="CB84" i="5"/>
  <c r="CB24" i="5"/>
  <c r="CB78" i="5"/>
  <c r="CB10" i="5"/>
  <c r="CB27" i="5"/>
  <c r="CB23" i="5"/>
  <c r="CB21" i="5"/>
  <c r="CB71" i="5"/>
  <c r="CB49" i="5"/>
  <c r="CB75" i="5"/>
  <c r="CB42" i="5"/>
  <c r="CB69" i="5"/>
  <c r="CB40" i="5"/>
  <c r="CB66" i="5"/>
  <c r="CB32" i="5"/>
  <c r="CB63" i="5"/>
  <c r="CB36" i="5"/>
  <c r="CB34" i="5"/>
  <c r="CB76" i="5"/>
  <c r="CB35" i="5"/>
  <c r="CB74" i="5"/>
  <c r="CB53" i="5"/>
  <c r="CB57" i="5"/>
  <c r="CB81" i="5"/>
  <c r="CB72" i="5"/>
  <c r="CB45" i="5"/>
  <c r="CB16" i="5"/>
  <c r="CB48" i="5"/>
  <c r="CB5" i="5"/>
  <c r="CB44" i="5"/>
  <c r="CB70" i="5"/>
  <c r="CB12" i="5"/>
  <c r="CB61" i="5"/>
  <c r="CB28" i="5"/>
  <c r="CB82" i="5"/>
  <c r="CB51" i="5"/>
  <c r="CB26" i="5"/>
  <c r="CB29" i="5"/>
  <c r="CB73" i="5"/>
  <c r="CB25" i="5"/>
  <c r="CB38" i="5"/>
  <c r="CB83" i="5"/>
  <c r="CB46" i="5"/>
  <c r="CB9" i="5"/>
  <c r="CB79" i="5"/>
  <c r="CB14" i="5"/>
  <c r="CB62" i="5"/>
  <c r="CB7" i="5"/>
  <c r="CB31" i="5"/>
  <c r="CB6" i="5"/>
  <c r="CB55" i="5"/>
  <c r="CB39" i="5"/>
  <c r="CB37" i="5"/>
  <c r="CB52" i="5"/>
  <c r="CB18" i="5"/>
  <c r="CB59" i="5"/>
  <c r="CB68" i="5"/>
  <c r="CB43" i="5"/>
  <c r="CB80" i="5"/>
  <c r="CB17" i="5"/>
  <c r="CB58" i="5"/>
  <c r="CB4" i="5" l="1"/>
  <c r="CC4" i="5"/>
</calcChain>
</file>

<file path=xl/sharedStrings.xml><?xml version="1.0" encoding="utf-8"?>
<sst xmlns="http://schemas.openxmlformats.org/spreadsheetml/2006/main" count="4014" uniqueCount="298">
  <si>
    <t>Industry</t>
  </si>
  <si>
    <t>Client</t>
  </si>
  <si>
    <t>4Hire Pty Ltd</t>
  </si>
  <si>
    <t>Adam Andrews</t>
  </si>
  <si>
    <t>Adept Pools Pty Ltd</t>
  </si>
  <si>
    <t>AFDS Pty. Ltd</t>
  </si>
  <si>
    <t>Ainsley's Hair Salon</t>
  </si>
  <si>
    <t>All Sight</t>
  </si>
  <si>
    <t>Amcal Max Salamander Bay</t>
  </si>
  <si>
    <t>Anita Marshall Pty Ltd</t>
  </si>
  <si>
    <t>ARTEKE - EBM</t>
  </si>
  <si>
    <t>Bakker Homes</t>
  </si>
  <si>
    <t>Bay Bobcat &amp; Tipper Hire</t>
  </si>
  <si>
    <t>Bayview Home Solutions</t>
  </si>
  <si>
    <t>BC Home Chores</t>
  </si>
  <si>
    <t>Bill Knaggs Real Estate</t>
  </si>
  <si>
    <t>Bomboras Football Club</t>
  </si>
  <si>
    <t>Boz Designz</t>
  </si>
  <si>
    <t>Boz Investments</t>
  </si>
  <si>
    <t>C T Borg Transport</t>
  </si>
  <si>
    <t>Calypso Fishing Adventures</t>
  </si>
  <si>
    <t>Chatterbox</t>
  </si>
  <si>
    <t>Chad Warrington</t>
  </si>
  <si>
    <t>Connectt Total Business Solutions</t>
  </si>
  <si>
    <t>Coral Dawn Dental</t>
  </si>
  <si>
    <t>Ermer Family Trust</t>
  </si>
  <si>
    <t>Crone Brian</t>
  </si>
  <si>
    <t>Damgas Pty Ltd</t>
  </si>
  <si>
    <t>Destinations Africa</t>
  </si>
  <si>
    <t>Dream 2000 Pty Ltd</t>
  </si>
  <si>
    <t>Erbil Pty Ltd / Ezimetal</t>
  </si>
  <si>
    <t>Evergreen Profit Pty Ltd</t>
  </si>
  <si>
    <t>Fibretec</t>
  </si>
  <si>
    <t>Fortitude Psychology</t>
  </si>
  <si>
    <t>GCB Investments</t>
  </si>
  <si>
    <t>Hanmarl Pty Ltd</t>
  </si>
  <si>
    <t>Health Essentials</t>
  </si>
  <si>
    <t>Helen Stronach Architects Pty Ltd</t>
  </si>
  <si>
    <t>Herbert Asset Management</t>
  </si>
  <si>
    <t>Herbert Construction Group</t>
  </si>
  <si>
    <t>Herscheid Restorations</t>
  </si>
  <si>
    <t>Holidays by the Bay</t>
  </si>
  <si>
    <t>Honey Hunter Pty Ltd</t>
  </si>
  <si>
    <t>HSAF Pty Ltd</t>
  </si>
  <si>
    <t>Hunter Vending</t>
  </si>
  <si>
    <t>Ian Farmer</t>
  </si>
  <si>
    <t>IPS Plumbing</t>
  </si>
  <si>
    <t>Jake's Place</t>
  </si>
  <si>
    <t>Klipee</t>
  </si>
  <si>
    <t>Lemon Seed</t>
  </si>
  <si>
    <t>Mail Trust</t>
  </si>
  <si>
    <t>Natural Lighting</t>
  </si>
  <si>
    <t>Nelson Bay Golf Club</t>
  </si>
  <si>
    <t>Nelson Bay Netball</t>
  </si>
  <si>
    <t>OConnor, Felicity</t>
  </si>
  <si>
    <t>Orr Enterprises Pty Ltd</t>
  </si>
  <si>
    <t>G&amp;N Beaumont (Outdoor Obsessions)</t>
  </si>
  <si>
    <t>Parker Scanlon</t>
  </si>
  <si>
    <t>Pasta di Porto</t>
  </si>
  <si>
    <t>Pickled &amp; Pressed Pty Ltd</t>
  </si>
  <si>
    <t>Platinum Electrical Newcastle</t>
  </si>
  <si>
    <t>Port Stephens Property Cleaning</t>
  </si>
  <si>
    <t>Port Stephens Sheds</t>
  </si>
  <si>
    <t>Pride Prestige</t>
  </si>
  <si>
    <t>Quick Cuts Barber</t>
  </si>
  <si>
    <t>R K Clark Refrigeration Pty Ltd</t>
  </si>
  <si>
    <t>Rebecca Dean Real Estate Pty Ltd</t>
  </si>
  <si>
    <t>Real Estate Friend</t>
  </si>
  <si>
    <t>Red Neds Pies</t>
  </si>
  <si>
    <t>RePower Mining International Pty Ltd</t>
  </si>
  <si>
    <t>Rethink Financial Planning</t>
  </si>
  <si>
    <t>Rethink Group</t>
  </si>
  <si>
    <t>Rethink Investments</t>
  </si>
  <si>
    <t>Richard Slack Caretaking</t>
  </si>
  <si>
    <t>Road Logistics</t>
  </si>
  <si>
    <t>RP Fitness</t>
  </si>
  <si>
    <t>Salt Bistro</t>
  </si>
  <si>
    <t>Soldiers Point Marina</t>
  </si>
  <si>
    <t>Solitary Island Surf School</t>
  </si>
  <si>
    <t>Stay Port Stephens</t>
  </si>
  <si>
    <t>Stott Industrial Supplies Pty Ltd</t>
  </si>
  <si>
    <t>Taj Tandoori</t>
  </si>
  <si>
    <t>Tanilba Concrete</t>
  </si>
  <si>
    <t>T &amp; K Gleeson Bricklaying</t>
  </si>
  <si>
    <t>The Guest Family Trust</t>
  </si>
  <si>
    <t>The Poyers</t>
  </si>
  <si>
    <t>Three Colours</t>
  </si>
  <si>
    <t>Todd Oleary</t>
  </si>
  <si>
    <t>Tricho &amp; Tatoo (old Arteke)</t>
  </si>
  <si>
    <t>Twins Metal Services Pty Ltd</t>
  </si>
  <si>
    <t>Woodburn Pty Ltd</t>
  </si>
  <si>
    <t>N</t>
  </si>
  <si>
    <t>Y</t>
  </si>
  <si>
    <t>Construction Support (Hire and Sales)</t>
  </si>
  <si>
    <t>Daycare</t>
  </si>
  <si>
    <t>Trade (Construction)</t>
  </si>
  <si>
    <t>Trade (Hair)</t>
  </si>
  <si>
    <t>Health/Medical</t>
  </si>
  <si>
    <t>Financial Planning/ Mortgage Broker</t>
  </si>
  <si>
    <t>Real Estate</t>
  </si>
  <si>
    <t>Club</t>
  </si>
  <si>
    <t>Investment Property Owning/Management</t>
  </si>
  <si>
    <t>Courier/Transport</t>
  </si>
  <si>
    <t>Hospitality</t>
  </si>
  <si>
    <t>Service Station</t>
  </si>
  <si>
    <t>Manufacturing</t>
  </si>
  <si>
    <t>Online Services</t>
  </si>
  <si>
    <t>Vending Machines</t>
  </si>
  <si>
    <t>Trade (Plumbing)</t>
  </si>
  <si>
    <t>Manufacturing and Sales</t>
  </si>
  <si>
    <t>Trade (Mechanic) and Service Station</t>
  </si>
  <si>
    <t>Trade (Surveyers)</t>
  </si>
  <si>
    <t>Mining</t>
  </si>
  <si>
    <t>Fitness</t>
  </si>
  <si>
    <t>None</t>
  </si>
  <si>
    <t>Kathleen</t>
  </si>
  <si>
    <t>Kathryn</t>
  </si>
  <si>
    <t>Rachel</t>
  </si>
  <si>
    <t>Joanna</t>
  </si>
  <si>
    <t>Kim</t>
  </si>
  <si>
    <t>Clients</t>
  </si>
  <si>
    <t>Active:</t>
  </si>
  <si>
    <t>Staff:</t>
  </si>
  <si>
    <t>Staff Last Name</t>
  </si>
  <si>
    <t>Gordon-Duford</t>
  </si>
  <si>
    <t>Quigley</t>
  </si>
  <si>
    <t>Laurence</t>
  </si>
  <si>
    <t>van Niekerk</t>
  </si>
  <si>
    <t>Unassigned</t>
  </si>
  <si>
    <t>New</t>
  </si>
  <si>
    <t>-</t>
  </si>
  <si>
    <t>Mampusti</t>
  </si>
  <si>
    <t>Mae Aba-a</t>
  </si>
  <si>
    <t>Wuthrich</t>
  </si>
  <si>
    <t>No. Of Clients</t>
  </si>
  <si>
    <t>Staff First Name</t>
  </si>
  <si>
    <t>Staff Email</t>
  </si>
  <si>
    <t>Pay Rate</t>
  </si>
  <si>
    <t>Industry:</t>
  </si>
  <si>
    <t>Services</t>
  </si>
  <si>
    <t>Trade (Mechanic)</t>
  </si>
  <si>
    <t>Trade (Electrical)</t>
  </si>
  <si>
    <t>Trade (Cleaning)</t>
  </si>
  <si>
    <t>No. of Employees</t>
  </si>
  <si>
    <t>Number of Employees</t>
  </si>
  <si>
    <t>Payroll</t>
  </si>
  <si>
    <t>Frequency</t>
  </si>
  <si>
    <t>DOB</t>
  </si>
  <si>
    <t>Chantelle</t>
  </si>
  <si>
    <t>Smith</t>
  </si>
  <si>
    <t>Up to 5</t>
  </si>
  <si>
    <t>Up to 10</t>
  </si>
  <si>
    <t>Up to 20</t>
  </si>
  <si>
    <t>20+</t>
  </si>
  <si>
    <t>Week</t>
  </si>
  <si>
    <t>Fort</t>
  </si>
  <si>
    <t>Annual</t>
  </si>
  <si>
    <t>Quart</t>
  </si>
  <si>
    <t>Factor</t>
  </si>
  <si>
    <t>Software</t>
  </si>
  <si>
    <t>Xero Non GSTCash Book</t>
  </si>
  <si>
    <t>GST Cashbook</t>
  </si>
  <si>
    <t>Xero Starter</t>
  </si>
  <si>
    <t>Xero Standard</t>
  </si>
  <si>
    <t>Xero Premium 5</t>
  </si>
  <si>
    <t>Xero Premium 10</t>
  </si>
  <si>
    <t>Xero Premium 20</t>
  </si>
  <si>
    <t>Xero Premium 50</t>
  </si>
  <si>
    <t>Quickbooks Start</t>
  </si>
  <si>
    <t>Quickbooks Essentials</t>
  </si>
  <si>
    <t>Quickbooks Plus</t>
  </si>
  <si>
    <t>MYOB AccountRight Live Plus Recurring</t>
  </si>
  <si>
    <t>MYOB Partners Additional Live</t>
  </si>
  <si>
    <t>MYOB Partners Additional AccountRight Live BASICS</t>
  </si>
  <si>
    <t>Client Subscription</t>
  </si>
  <si>
    <t xml:space="preserve">Cost </t>
  </si>
  <si>
    <t>Super</t>
  </si>
  <si>
    <t>Bookkeeping</t>
  </si>
  <si>
    <t>Reporting</t>
  </si>
  <si>
    <t>BAS 1</t>
  </si>
  <si>
    <t>BAS 2</t>
  </si>
  <si>
    <t>IAS</t>
  </si>
  <si>
    <t>EOFY</t>
  </si>
  <si>
    <t>Mon</t>
  </si>
  <si>
    <t>Minutes/Pay Run</t>
  </si>
  <si>
    <t>Monthly Payroll Cost</t>
  </si>
  <si>
    <t>Payroll Team</t>
  </si>
  <si>
    <t>Super Team</t>
  </si>
  <si>
    <t>Payroll Frequency</t>
  </si>
  <si>
    <t>Payroll Rate</t>
  </si>
  <si>
    <t>Super Frequency</t>
  </si>
  <si>
    <t>Minutes/Super</t>
  </si>
  <si>
    <t>Monthly Super Cost</t>
  </si>
  <si>
    <t>Payroll Factor</t>
  </si>
  <si>
    <t>Super Rate</t>
  </si>
  <si>
    <t>Super Factor</t>
  </si>
  <si>
    <t>Bookkeeping Team</t>
  </si>
  <si>
    <t>Bookkeeping Frequency</t>
  </si>
  <si>
    <t>Minutes/Activity</t>
  </si>
  <si>
    <t>Payroll Hours/Month</t>
  </si>
  <si>
    <t>Super Hours/Month</t>
  </si>
  <si>
    <t>Bookkeeping Hours/Month</t>
  </si>
  <si>
    <t>Bookkeeping Rate</t>
  </si>
  <si>
    <t>Bookkeeping Factor</t>
  </si>
  <si>
    <t>Monthly Bookkeeping Cost</t>
  </si>
  <si>
    <t>Reporting Team</t>
  </si>
  <si>
    <t>Reporting Frequency</t>
  </si>
  <si>
    <t>Minutes/Report</t>
  </si>
  <si>
    <t>Reporting Hours/Month</t>
  </si>
  <si>
    <t>Reporting Rate</t>
  </si>
  <si>
    <t>Reporting Factor</t>
  </si>
  <si>
    <t>Monthly Reporting Cost</t>
  </si>
  <si>
    <t>BAS 1 Team</t>
  </si>
  <si>
    <t>BAS 1 Frequency</t>
  </si>
  <si>
    <t>Minutes/BAS 1</t>
  </si>
  <si>
    <t>BAS 1 Hours/Month</t>
  </si>
  <si>
    <t>BAS 1 Rate</t>
  </si>
  <si>
    <t>BAS 1 Factor</t>
  </si>
  <si>
    <t>Monthly BAS 1 Cost</t>
  </si>
  <si>
    <t>BAS 2 Team</t>
  </si>
  <si>
    <t>BAS 2 Frequency</t>
  </si>
  <si>
    <t>Minutes/BAS 2</t>
  </si>
  <si>
    <t>BAS 2 Hours/Month</t>
  </si>
  <si>
    <t>BAS 2 Rate</t>
  </si>
  <si>
    <t>BAS 2 Factor</t>
  </si>
  <si>
    <t>Monthly BAS 2 Cost</t>
  </si>
  <si>
    <t>IAS Team</t>
  </si>
  <si>
    <t>IAS Frequency</t>
  </si>
  <si>
    <t>Minutes/IAS</t>
  </si>
  <si>
    <t>IAS Hours/Month</t>
  </si>
  <si>
    <t>IAS Rate</t>
  </si>
  <si>
    <t>IAS Factor</t>
  </si>
  <si>
    <t>Monthly IAS Cost</t>
  </si>
  <si>
    <t>EOFY Team 1</t>
  </si>
  <si>
    <t>Time Min 1</t>
  </si>
  <si>
    <t>EOFY Team 1 Rate</t>
  </si>
  <si>
    <t>EOFY 1 Min/Month</t>
  </si>
  <si>
    <t>EOFY Team 2</t>
  </si>
  <si>
    <t>Time Min 2</t>
  </si>
  <si>
    <t>EOFY 2 Min/Month</t>
  </si>
  <si>
    <t>Monthly EOFY Cost</t>
  </si>
  <si>
    <t>EOFY Team 2 Rate</t>
  </si>
  <si>
    <t>Software Name</t>
  </si>
  <si>
    <t>Software Cost</t>
  </si>
  <si>
    <t>Total Cost</t>
  </si>
  <si>
    <t>Total  Cost excl. Software</t>
  </si>
  <si>
    <t>Monthly Sales Price</t>
  </si>
  <si>
    <t>Current Margin</t>
  </si>
  <si>
    <t>Suggested Sale Price</t>
  </si>
  <si>
    <t>Margin:</t>
  </si>
  <si>
    <t>Current Sales Price</t>
  </si>
  <si>
    <t>Employee</t>
  </si>
  <si>
    <t>Budgeted Time (Min)</t>
  </si>
  <si>
    <t>Legal Services</t>
  </si>
  <si>
    <t>Client Name:</t>
  </si>
  <si>
    <t>Responsible Staff:</t>
  </si>
  <si>
    <t>Number of Employees:</t>
  </si>
  <si>
    <t>Payroll:</t>
  </si>
  <si>
    <t>Frequency:</t>
  </si>
  <si>
    <t>Staff 1:</t>
  </si>
  <si>
    <t>Staff 2 :</t>
  </si>
  <si>
    <t>EOFY 1</t>
  </si>
  <si>
    <t>Package:</t>
  </si>
  <si>
    <t>Subscription</t>
  </si>
  <si>
    <t>Minutes/Pay Run:</t>
  </si>
  <si>
    <t>Minutes/Super:</t>
  </si>
  <si>
    <t>Minutes/Activity:</t>
  </si>
  <si>
    <t>Minutes/Report:</t>
  </si>
  <si>
    <t>Minutes/BAS:</t>
  </si>
  <si>
    <t>Minutes/IAS:</t>
  </si>
  <si>
    <t>Minutes/EOFY:</t>
  </si>
  <si>
    <t>Work Type</t>
  </si>
  <si>
    <t>Active</t>
  </si>
  <si>
    <t>Staff</t>
  </si>
  <si>
    <t>Port Stephens Plastering</t>
  </si>
  <si>
    <t>Evergreen Profit Pty Ltd (TunedWP)</t>
  </si>
  <si>
    <t>OPAAT Health</t>
  </si>
  <si>
    <t>Adamstown Community Early Learning and Preschool</t>
  </si>
  <si>
    <t>Seed People Consulting</t>
  </si>
  <si>
    <t>EOFY 2</t>
  </si>
  <si>
    <t>The Collective Beat</t>
  </si>
  <si>
    <t>Ballina Heights Plumbing</t>
  </si>
  <si>
    <t>MZDG</t>
  </si>
  <si>
    <t>Amber Tiles</t>
  </si>
  <si>
    <t>Scale to 16:</t>
  </si>
  <si>
    <t/>
  </si>
  <si>
    <t>$</t>
  </si>
  <si>
    <t>Onboarding Team</t>
  </si>
  <si>
    <t>Onboarding Factor</t>
  </si>
  <si>
    <t>Onboarding Minutes</t>
  </si>
  <si>
    <t>Onboarding Hours</t>
  </si>
  <si>
    <t>Onboarding Rate</t>
  </si>
  <si>
    <t>Onb. Factor:</t>
  </si>
  <si>
    <t>Client Life Expectancy (Months)</t>
  </si>
  <si>
    <t>Onboarding</t>
  </si>
  <si>
    <t>Total Onboarding Monthly Cost</t>
  </si>
  <si>
    <t>Onboarding Staff:</t>
  </si>
  <si>
    <t>Milan van Niekerk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</si>
</sst>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£&quot;* #,##0.00_);_(&quot;£&quot;* \(#,##0.00\);_(&quot;£&quot;* &quot;-&quot;??_);_(@_)"/>
    <numFmt numFmtId="164" formatCode="_([$$-409]* #,##0.00_);_([$$-409]* \(#,##0.00\);_([$$-409]* &quot;-&quot;??_);_(@_)"/>
    <numFmt numFmtId="165" formatCode="_-[$$-C09]* #,##0.00_-;\-[$$-C09]* #,##0.00_-;_-[$$-C09]* &quot;-&quot;??_-;_-@_-"/>
    <numFmt numFmtId="166" formatCode="0.0"/>
    <numFmt numFmtId="167" formatCode="0.0%"/>
    <numFmt numFmtId="168" formatCode="_([$$-409]* #,##0.00_);_([$$-409]* \(#,##0.00\);_([$$-409]* &quot;-&quot;?_);_(@_)"/>
    <numFmt numFmtId="169" formatCode="0;\-0;;@"/>
  </numFmts>
  <fonts count="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2"/>
      <color theme="1"/>
      <name val="Arial"/>
      <family val="2"/>
    </font>
    <font>
      <sz val="8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8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4" fillId="0" borderId="0" xfId="0" applyFont="1" applyBorder="1"/>
    <xf numFmtId="0" fontId="3" fillId="0" borderId="0" xfId="0" applyFont="1" applyBorder="1"/>
    <xf numFmtId="0" fontId="0" fillId="0" borderId="0" xfId="0" applyBorder="1"/>
    <xf numFmtId="14" fontId="0" fillId="0" borderId="0" xfId="0" applyNumberFormat="1"/>
    <xf numFmtId="164" fontId="4" fillId="0" borderId="0" xfId="1" applyNumberFormat="1" applyFont="1"/>
    <xf numFmtId="165" fontId="0" fillId="0" borderId="0" xfId="0" applyNumberFormat="1"/>
    <xf numFmtId="0" fontId="0" fillId="0" borderId="0" xfId="0" applyFont="1"/>
    <xf numFmtId="0" fontId="6" fillId="0" borderId="0" xfId="0" applyFont="1"/>
    <xf numFmtId="164" fontId="0" fillId="0" borderId="0" xfId="0" applyNumberFormat="1" applyFont="1"/>
    <xf numFmtId="2" fontId="0" fillId="0" borderId="0" xfId="0" applyNumberFormat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6" fillId="0" borderId="0" xfId="0" applyFont="1" applyBorder="1"/>
    <xf numFmtId="0" fontId="0" fillId="0" borderId="0" xfId="0" applyFont="1" applyBorder="1"/>
    <xf numFmtId="164" fontId="4" fillId="0" borderId="0" xfId="0" applyNumberFormat="1" applyFont="1"/>
    <xf numFmtId="2" fontId="0" fillId="0" borderId="0" xfId="0" applyNumberFormat="1" applyFont="1"/>
    <xf numFmtId="2" fontId="6" fillId="0" borderId="0" xfId="0" applyNumberFormat="1" applyFont="1" applyBorder="1"/>
    <xf numFmtId="2" fontId="6" fillId="0" borderId="0" xfId="0" applyNumberFormat="1" applyFont="1"/>
    <xf numFmtId="164" fontId="6" fillId="0" borderId="0" xfId="0" applyNumberFormat="1" applyFont="1"/>
    <xf numFmtId="164" fontId="0" fillId="0" borderId="0" xfId="1" applyNumberFormat="1" applyFont="1"/>
    <xf numFmtId="9" fontId="0" fillId="0" borderId="0" xfId="2" applyFont="1"/>
    <xf numFmtId="0" fontId="2" fillId="0" borderId="0" xfId="0" applyFont="1"/>
    <xf numFmtId="164" fontId="6" fillId="4" borderId="0" xfId="0" applyNumberFormat="1" applyFont="1" applyFill="1"/>
    <xf numFmtId="169" fontId="0" fillId="0" borderId="0" xfId="0" applyNumberFormat="1" applyFont="1"/>
    <xf numFmtId="0" fontId="0" fillId="4" borderId="0" xfId="0" applyFill="1"/>
    <xf numFmtId="0" fontId="0" fillId="0" borderId="0" xfId="0" applyNumberFormat="1"/>
    <xf numFmtId="0" fontId="2" fillId="4" borderId="0" xfId="0" applyFont="1" applyFill="1"/>
    <xf numFmtId="0" fontId="2" fillId="4" borderId="0" xfId="0" applyFont="1" applyFill="1" applyBorder="1"/>
    <xf numFmtId="0" fontId="8" fillId="4" borderId="0" xfId="0" applyFont="1" applyFill="1" applyBorder="1"/>
    <xf numFmtId="0" fontId="2" fillId="4" borderId="4" xfId="0" applyFont="1" applyFill="1" applyBorder="1"/>
    <xf numFmtId="0" fontId="0" fillId="4" borderId="0" xfId="0" applyFill="1" applyBorder="1"/>
    <xf numFmtId="0" fontId="2" fillId="5" borderId="0" xfId="0" applyFont="1" applyFill="1" applyBorder="1"/>
    <xf numFmtId="0" fontId="0" fillId="5" borderId="5" xfId="0" applyFill="1" applyBorder="1"/>
    <xf numFmtId="0" fontId="0" fillId="5" borderId="0" xfId="0" applyFill="1"/>
    <xf numFmtId="0" fontId="2" fillId="5" borderId="4" xfId="0" applyFont="1" applyFill="1" applyBorder="1"/>
    <xf numFmtId="0" fontId="0" fillId="5" borderId="4" xfId="0" applyFill="1" applyBorder="1"/>
    <xf numFmtId="0" fontId="8" fillId="5" borderId="0" xfId="0" applyFont="1" applyFill="1" applyBorder="1"/>
    <xf numFmtId="0" fontId="0" fillId="4" borderId="0" xfId="0" applyFill="1" applyProtection="1">
      <protection locked="0"/>
    </xf>
    <xf numFmtId="0" fontId="0" fillId="5" borderId="5" xfId="0" applyFill="1" applyBorder="1" applyProtection="1">
      <protection locked="0"/>
    </xf>
    <xf numFmtId="0" fontId="0" fillId="5" borderId="5" xfId="0" applyFill="1" applyBorder="1" applyAlignment="1" applyProtection="1">
      <alignment horizontal="left"/>
      <protection locked="0"/>
    </xf>
    <xf numFmtId="0" fontId="0" fillId="4" borderId="5" xfId="0" applyFill="1" applyBorder="1" applyProtection="1">
      <protection locked="0"/>
    </xf>
    <xf numFmtId="0" fontId="0" fillId="4" borderId="5" xfId="0" applyFill="1" applyBorder="1" applyAlignment="1" applyProtection="1">
      <alignment horizontal="left"/>
      <protection locked="0"/>
    </xf>
    <xf numFmtId="0" fontId="2" fillId="0" borderId="0" xfId="0" applyFont="1" applyAlignment="1">
      <alignment horizontal="center"/>
    </xf>
    <xf numFmtId="0" fontId="6" fillId="0" borderId="4" xfId="0" applyFont="1" applyBorder="1"/>
    <xf numFmtId="44" fontId="0" fillId="0" borderId="0" xfId="1" applyFont="1"/>
    <xf numFmtId="0" fontId="2" fillId="0" borderId="0" xfId="0" applyFont="1" applyFill="1" applyAlignment="1">
      <alignment horizontal="center"/>
    </xf>
    <xf numFmtId="0" fontId="0" fillId="0" borderId="0" xfId="0" applyFont="1" applyFill="1"/>
    <xf numFmtId="164" fontId="0" fillId="0" borderId="0" xfId="0" applyNumberFormat="1" applyFont="1" applyFill="1"/>
    <xf numFmtId="2" fontId="0" fillId="0" borderId="0" xfId="0" applyNumberFormat="1" applyFont="1" applyFill="1" applyAlignment="1">
      <alignment horizontal="center"/>
    </xf>
    <xf numFmtId="164" fontId="6" fillId="0" borderId="0" xfId="0" applyNumberFormat="1" applyFont="1" applyBorder="1"/>
    <xf numFmtId="164" fontId="6" fillId="2" borderId="5" xfId="0" applyNumberFormat="1" applyFont="1" applyFill="1" applyBorder="1"/>
    <xf numFmtId="164" fontId="6" fillId="2" borderId="5" xfId="1" applyNumberFormat="1" applyFont="1" applyFill="1" applyBorder="1"/>
    <xf numFmtId="166" fontId="6" fillId="0" borderId="0" xfId="0" applyNumberFormat="1" applyFont="1"/>
    <xf numFmtId="166" fontId="6" fillId="0" borderId="0" xfId="0" applyNumberFormat="1" applyFont="1" applyBorder="1"/>
    <xf numFmtId="164" fontId="6" fillId="2" borderId="0" xfId="0" applyNumberFormat="1" applyFont="1" applyFill="1" applyBorder="1"/>
    <xf numFmtId="2" fontId="6" fillId="0" borderId="0" xfId="0" applyNumberFormat="1" applyFont="1" applyFill="1" applyBorder="1"/>
    <xf numFmtId="164" fontId="6" fillId="0" borderId="0" xfId="0" applyNumberFormat="1" applyFont="1" applyFill="1" applyBorder="1"/>
    <xf numFmtId="164" fontId="6" fillId="3" borderId="0" xfId="0" applyNumberFormat="1" applyFont="1" applyFill="1"/>
    <xf numFmtId="167" fontId="6" fillId="4" borderId="0" xfId="2" applyNumberFormat="1" applyFont="1" applyFill="1"/>
    <xf numFmtId="168" fontId="6" fillId="3" borderId="0" xfId="0" applyNumberFormat="1" applyFont="1" applyFill="1"/>
    <xf numFmtId="0" fontId="6" fillId="0" borderId="0" xfId="0" applyNumberFormat="1" applyFont="1"/>
    <xf numFmtId="164" fontId="6" fillId="0" borderId="4" xfId="0" applyNumberFormat="1" applyFont="1" applyBorder="1"/>
    <xf numFmtId="0" fontId="2" fillId="5" borderId="0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Font="1" applyAlignment="1">
      <alignment horizontal="center"/>
    </xf>
  </cellXfs>
  <cellStyles count="3">
    <cellStyle name="Currency" xfId="1" builtinId="4"/>
    <cellStyle name="Normal" xfId="0" builtinId="0"/>
    <cellStyle name="Per cent" xfId="2" builtinId="5"/>
  </cellStyles>
  <dxfs count="10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9" formatCode="0;\-0;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9" formatCode="0;\-0;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2" formatCode="0.00"/>
    </dxf>
    <dxf>
      <numFmt numFmtId="165" formatCode="_-[$$-C09]* #,##0.00_-;\-[$$-C09]* #,##0.00_-;_-[$$-C09]* &quot;-&quot;??_-;_-@_-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_([$$-409]* #,##0.00_);_([$$-409]* \(#,##0.00\);_([$$-409]* &quot;-&quot;?_);_(@_)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7" formatCode="0.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_([$$-409]* #,##0.00_);_([$$-409]* \(#,##0.00\);_([$$-409]* &quot;-&quot;??_);_(@_)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_([$$-409]* #,##0.00_);_([$$-409]* \(#,##0.00\);_([$$-409]* &quot;-&quot;??_);_(@_)"/>
      <fill>
        <patternFill patternType="solid">
          <fgColor indexed="64"/>
          <bgColor theme="0" tint="-0.1499984740745262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_([$$-409]* #,##0.00_);_([$$-409]* \(#,##0.00\);_([$$-409]* &quot;-&quot;??_);_(@_)"/>
      <fill>
        <patternFill patternType="solid">
          <fgColor indexed="64"/>
          <bgColor theme="4" tint="0.5999938962981048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_([$$-409]* #,##0.00_);_([$$-409]* \(#,##0.00\);_([$$-409]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_([$$-409]* #,##0.00_);_([$$-409]* \(#,##0.00\);_([$$-409]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_([$$-409]* #,##0.00_);_([$$-409]* \(#,##0.00\);_([$$-409]* &quot;-&quot;??_);_(@_)"/>
      <fill>
        <patternFill patternType="solid">
          <fgColor indexed="64"/>
          <bgColor theme="4" tint="0.5999938962981048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_([$$-409]* #,##0.00_);_([$$-409]* \(#,##0.00\);_([$$-409]* &quot;-&quot;??_);_(@_)"/>
      <fill>
        <patternFill patternType="solid">
          <fgColor indexed="64"/>
          <bgColor theme="4" tint="0.5999938962981048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border outline="0">
        <left style="thin">
          <color indexed="64"/>
        </left>
        <right/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_([$$-409]* #,##0.00_);_([$$-409]* \(#,##0.00\);_([$$-409]* &quot;-&quot;??_);_(@_)"/>
      <fill>
        <patternFill patternType="solid">
          <fgColor indexed="64"/>
          <bgColor theme="4" tint="0.5999938962981048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6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_([$$-409]* #,##0.00_);_([$$-409]* \(#,##0.00\);_([$$-409]* &quot;-&quot;??_);_(@_)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6" formatCode="0.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_([$$-409]* #,##0.00_);_([$$-409]* \(#,##0.00\);_([$$-409]* &quot;-&quot;??_);_(@_)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_([$$-409]* #,##0.00_);_([$$-409]* \(#,##0.00\);_([$$-409]* &quot;-&quot;??_);_(@_)"/>
      <fill>
        <patternFill patternType="solid">
          <fgColor indexed="64"/>
          <bgColor theme="4" tint="0.5999938962981048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_([$$-409]* #,##0.00_);_([$$-409]* \(#,##0.00\);_([$$-409]* &quot;-&quot;??_);_(@_)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border outline="0">
        <left style="thin">
          <color indexed="64"/>
        </left>
        <right/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_([$$-409]* #,##0.00_);_([$$-409]* \(#,##0.00\);_([$$-409]* &quot;-&quot;??_);_(@_)"/>
      <fill>
        <patternFill patternType="solid">
          <fgColor indexed="64"/>
          <bgColor theme="4" tint="0.5999938962981048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_([$$-409]* #,##0.00_);_([$$-409]* \(#,##0.00\);_([$$-409]* &quot;-&quot;??_);_(@_)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_([$$-409]* #,##0.00_);_([$$-409]* \(#,##0.00\);_([$$-409]* &quot;-&quot;??_);_(@_)"/>
      <fill>
        <patternFill patternType="solid">
          <fgColor indexed="64"/>
          <bgColor theme="4" tint="0.5999938962981048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_([$$-409]* #,##0.00_);_([$$-409]* \(#,##0.00\);_([$$-409]* &quot;-&quot;??_);_(@_)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_([$$-409]* #,##0.00_);_([$$-409]* \(#,##0.00\);_([$$-409]* &quot;-&quot;??_);_(@_)"/>
      <fill>
        <patternFill patternType="solid">
          <fgColor indexed="64"/>
          <bgColor theme="4" tint="0.5999938962981048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_([$$-409]* #,##0.00_);_([$$-409]* \(#,##0.00\);_([$$-409]* &quot;-&quot;??_);_(@_)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_([$$-409]* #,##0.00_);_([$$-409]* \(#,##0.00\);_([$$-409]* &quot;-&quot;??_);_(@_)"/>
      <fill>
        <patternFill patternType="solid">
          <fgColor indexed="64"/>
          <bgColor theme="4" tint="0.5999938962981048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_([$$-409]* #,##0.00_);_([$$-409]* \(#,##0.00\);_([$$-409]* &quot;-&quot;??_);_(@_)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_([$$-409]* #,##0.00_);_([$$-409]* \(#,##0.00\);_([$$-409]* &quot;-&quot;??_);_(@_)"/>
      <fill>
        <patternFill patternType="solid">
          <fgColor indexed="64"/>
          <bgColor theme="4" tint="0.5999938962981048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_([$$-409]* #,##0.00_);_([$$-409]* \(#,##0.00\);_([$$-409]* &quot;-&quot;??_);_(@_)"/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_([$$-409]* #,##0.00_);_([$$-409]* \(#,##0.00\);_([$$-409]* &quot;-&quot;??_);_(@_)"/>
      <fill>
        <patternFill patternType="solid">
          <fgColor indexed="64"/>
          <bgColor theme="4" tint="0.5999938962981048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border diagonalUp="0" diagonalDown="0" outline="0">
        <left style="thin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546100</xdr:colOff>
      <xdr:row>4</xdr:row>
      <xdr:rowOff>165100</xdr:rowOff>
    </xdr:from>
    <xdr:to>
      <xdr:col>8</xdr:col>
      <xdr:colOff>1295400</xdr:colOff>
      <xdr:row>6</xdr:row>
      <xdr:rowOff>165100</xdr:rowOff>
    </xdr:to>
    <xdr:sp macro="[0]!NewClient" textlink="">
      <xdr:nvSpPr>
        <xdr:cNvPr id="2" name="Rounded Rectangle 1">
          <a:extLst>
            <a:ext uri="{FF2B5EF4-FFF2-40B4-BE49-F238E27FC236}">
              <a16:creationId xmlns:a16="http://schemas.microsoft.com/office/drawing/2014/main" id="{8552A12D-808A-2F4D-856B-AC0601824214}"/>
            </a:ext>
          </a:extLst>
        </xdr:cNvPr>
        <xdr:cNvSpPr/>
      </xdr:nvSpPr>
      <xdr:spPr>
        <a:xfrm>
          <a:off x="8102600" y="977900"/>
          <a:ext cx="1930400" cy="40640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800" b="1"/>
            <a:t>Submit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5E54EF-7D0E-1F4A-8F0C-8FBE3656AE5D}" name="Clients" displayName="Clients" ref="A2:G99" totalsRowShown="0" headerRowDxfId="104" dataDxfId="103">
  <autoFilter ref="A2:G99" xr:uid="{0B73F7EE-E66E-5345-8438-99B59A82B018}"/>
  <sortState xmlns:xlrd2="http://schemas.microsoft.com/office/spreadsheetml/2017/richdata2" ref="A3:G99">
    <sortCondition ref="A2:A99"/>
  </sortState>
  <tableColumns count="7">
    <tableColumn id="1" xr3:uid="{D304A2AA-596E-0446-82E6-D8360D3540FB}" name="Clients" dataDxfId="102"/>
    <tableColumn id="2" xr3:uid="{CAEBA7EF-5114-474C-A019-1DFAFC730162}" name="Active" dataDxfId="101"/>
    <tableColumn id="3" xr3:uid="{95C50DA3-510B-6C4A-AF0E-2241C5D34EDE}" name="Staff" dataDxfId="100"/>
    <tableColumn id="5" xr3:uid="{E40C2C8F-716E-3840-8BD5-23D1DD098425}" name="Industry" dataDxfId="99"/>
    <tableColumn id="11" xr3:uid="{51F8F1A9-4F84-3C43-A18E-A92BAB379D6A}" name="Number of Employees" dataDxfId="98"/>
    <tableColumn id="6" xr3:uid="{93AEE6BC-B848-D94B-A57F-E4F8C400C3C6}" name="Total Cost" dataDxfId="97">
      <calculatedColumnFormula>IFERROR(VLOOKUP(Clients[[#This Row],[Clients]],Costing[],MATCH("Total  Cost excl. Software",Costing[#Headers],0),0),"")</calculatedColumnFormula>
    </tableColumn>
    <tableColumn id="7" xr3:uid="{F82DFA44-FF8D-8F4E-9ED1-FC343AF0DB74}" name="Monthly Sales Price" dataDxfId="96">
      <calculatedColumnFormula>IFERROR(VLOOKUP(Clients[[#This Row],[Clients]],Costing[],MATCH("Current Sales Price",Costing[#Headers],0),0),"")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214F3D1-FB28-1D42-A4FC-DC5A96ED7655}" name="Costing" displayName="Costing" ref="A2:CC84" totalsRowShown="0" headerRowDxfId="94" dataDxfId="93">
  <autoFilter ref="A2:CC84" xr:uid="{F2CC2996-C43D-0449-8D8D-F2705F2D7FBC}"/>
  <sortState xmlns:xlrd2="http://schemas.microsoft.com/office/spreadsheetml/2017/richdata2" ref="A3:CC84">
    <sortCondition ref="A2:A84"/>
  </sortState>
  <tableColumns count="81">
    <tableColumn id="1" xr3:uid="{B3ADBD88-BA23-8344-A0DD-14D210F99ECB}" name="Client" dataDxfId="92"/>
    <tableColumn id="6" xr3:uid="{AA07EAFF-D2E5-F94E-855B-548600D8552B}" name="Payroll" dataDxfId="91"/>
    <tableColumn id="3" xr3:uid="{87C36D50-C2FE-4E4A-A89E-E4E73D3540A5}" name="Payroll Team" dataDxfId="90"/>
    <tableColumn id="5" xr3:uid="{02177766-3A0B-0B49-B72D-716F17D32AE9}" name="Payroll Frequency" dataDxfId="89"/>
    <tableColumn id="7" xr3:uid="{B7E775C5-7FB4-7042-AAA5-9C4808F55827}" name="Minutes/Pay Run" dataDxfId="88"/>
    <tableColumn id="22" xr3:uid="{9E49AA97-EA84-414D-AA63-FFF5D6162FB4}" name="Payroll Hours/Month" dataDxfId="87">
      <calculatedColumnFormula>IFERROR(Costing[[#This Row],[Minutes/Pay Run]]*Costing[[#This Row],[Payroll Factor]]/60,"")</calculatedColumnFormula>
    </tableColumn>
    <tableColumn id="8" xr3:uid="{1F594636-A890-A246-874A-742137FD81B5}" name="Payroll Rate" dataDxfId="86">
      <calculatedColumnFormula>IFERROR(VLOOKUP(Costing[[#This Row],[Payroll Team]],Staff_Info[],4,0),"")</calculatedColumnFormula>
    </tableColumn>
    <tableColumn id="15" xr3:uid="{7E6A0DB1-DEE8-3948-8E17-401CA4E90184}" name="Payroll Factor" dataDxfId="85">
      <calculatedColumnFormula>IFERROR(VLOOKUP(Costing[[#This Row],[Payroll Frequency]],Frequency[],2,0),"")</calculatedColumnFormula>
    </tableColumn>
    <tableColumn id="9" xr3:uid="{45270278-76DE-4C47-B096-FE799BE07DDD}" name="Monthly Payroll Cost" dataDxfId="84">
      <calculatedColumnFormula>IFERROR(Costing[[#This Row],[Payroll Hours/Month]]*Costing[[#This Row],[Payroll Rate]],0)</calculatedColumnFormula>
    </tableColumn>
    <tableColumn id="14" xr3:uid="{C827329B-019B-5F4C-9C53-A9DA71047CF9}" name="Super" dataDxfId="83"/>
    <tableColumn id="10" xr3:uid="{57698CB1-24CA-4B40-9E71-37600D6D351F}" name="Super Team" dataDxfId="82"/>
    <tableColumn id="11" xr3:uid="{0B7DF4EA-599B-A840-A24E-3BA79E297A53}" name="Super Frequency" dataDxfId="81"/>
    <tableColumn id="12" xr3:uid="{F8AA938A-6A6D-7345-8386-1D20EC08AEE2}" name="Minutes/Super" dataDxfId="80"/>
    <tableColumn id="23" xr3:uid="{23AF6038-CC2D-A54A-B87F-F8F8A1A2CE2C}" name="Super Hours/Month" dataDxfId="79">
      <calculatedColumnFormula>IFERROR(Costing[[#This Row],[Minutes/Super]]*Costing[[#This Row],[Super Factor]]/60,"")</calculatedColumnFormula>
    </tableColumn>
    <tableColumn id="16" xr3:uid="{1E342D67-9CA1-5148-AE24-ABF9FFFD3562}" name="Super Rate" dataDxfId="78">
      <calculatedColumnFormula>IFERROR(VLOOKUP(Costing[[#This Row],[Super Team]],Staff_Info[],4,0),"")</calculatedColumnFormula>
    </tableColumn>
    <tableColumn id="17" xr3:uid="{5258A34B-8260-924F-8150-38FD806451E6}" name="Super Factor" dataDxfId="77">
      <calculatedColumnFormula>IFERROR(VLOOKUP(Costing[[#This Row],[Super Frequency]],Frequency[],2,0),"")</calculatedColumnFormula>
    </tableColumn>
    <tableColumn id="13" xr3:uid="{B4574132-6237-BD49-88A7-8AECC91CC3ED}" name="Monthly Super Cost" dataDxfId="76">
      <calculatedColumnFormula>IFERROR(Costing[[#This Row],[Super Hours/Month]]*Costing[[#This Row],[Super Rate]],0)</calculatedColumnFormula>
    </tableColumn>
    <tableColumn id="2" xr3:uid="{29D0E45C-4F2C-CA4C-BC35-0C34ADBD5D94}" name="Bookkeeping" dataDxfId="75"/>
    <tableColumn id="4" xr3:uid="{B76E8CD6-4F3F-8F44-91E4-AAB1D625B3B5}" name="Bookkeeping Team" dataDxfId="74"/>
    <tableColumn id="18" xr3:uid="{921631E9-B23D-564F-8B04-24866EB30B0D}" name="Bookkeeping Frequency" dataDxfId="73"/>
    <tableColumn id="19" xr3:uid="{6F561678-2D04-FE41-9246-80BF7F27EAA2}" name="Minutes/Activity" dataDxfId="72"/>
    <tableColumn id="20" xr3:uid="{5F2F754F-C9D2-2046-A107-BAEBBCF604C3}" name="Bookkeeping Hours/Month" dataDxfId="71">
      <calculatedColumnFormula>IFERROR(Costing[[#This Row],[Minutes/Activity]]*Costing[[#This Row],[Bookkeeping Factor]]/60,"")</calculatedColumnFormula>
    </tableColumn>
    <tableColumn id="21" xr3:uid="{E5E8B06E-2434-D24D-98D8-DAEBA964D6E1}" name="Bookkeeping Rate" dataDxfId="70">
      <calculatedColumnFormula>IFERROR(VLOOKUP(Costing[[#This Row],[Bookkeeping Team]],Staff_Info[],4,0),"")</calculatedColumnFormula>
    </tableColumn>
    <tableColumn id="24" xr3:uid="{147F2FE0-09EB-FB4C-A835-51E413313272}" name="Bookkeeping Factor" dataDxfId="69">
      <calculatedColumnFormula>IFERROR(VLOOKUP(Costing[[#This Row],[Bookkeeping Frequency]],Frequency[],2,0),"")</calculatedColumnFormula>
    </tableColumn>
    <tableColumn id="25" xr3:uid="{E6BB803F-1271-9B48-A252-FE1822A8DA64}" name="Monthly Bookkeeping Cost" dataDxfId="68">
      <calculatedColumnFormula>IFERROR(Costing[[#This Row],[Bookkeeping Hours/Month]]*Costing[[#This Row],[Bookkeeping Rate]],0)</calculatedColumnFormula>
    </tableColumn>
    <tableColumn id="26" xr3:uid="{95305754-81D2-214F-AC6F-7B06827B57B9}" name="Reporting" dataDxfId="67"/>
    <tableColumn id="27" xr3:uid="{82A7F0FE-EF1D-1944-A29F-40C0B6C6E597}" name="Reporting Team" dataDxfId="66"/>
    <tableColumn id="28" xr3:uid="{4B60BD5A-4CA2-4149-AADB-8E131DBC38AF}" name="Reporting Frequency" dataDxfId="65"/>
    <tableColumn id="29" xr3:uid="{ADF07181-2AC8-E44B-899A-129360DB2679}" name="Minutes/Report" dataDxfId="64"/>
    <tableColumn id="30" xr3:uid="{E9887D6D-ACB8-C14A-A843-DA9126AEB3D6}" name="Reporting Hours/Month" dataDxfId="63">
      <calculatedColumnFormula>IFERROR(Costing[[#This Row],[Minutes/Report]]*Costing[[#This Row],[Reporting Factor]]/60,"")</calculatedColumnFormula>
    </tableColumn>
    <tableColumn id="31" xr3:uid="{50C2CC09-5525-7147-A8B8-6B8E5CB97C8E}" name="Reporting Rate" dataDxfId="62">
      <calculatedColumnFormula>IFERROR(VLOOKUP(Costing[[#This Row],[Reporting Team]],Staff_Info[],4,0),"")</calculatedColumnFormula>
    </tableColumn>
    <tableColumn id="32" xr3:uid="{093D4CBB-C2BC-D54D-9CE2-A597F2A2EDA1}" name="Reporting Factor" dataDxfId="61">
      <calculatedColumnFormula>IFERROR(VLOOKUP(Costing[[#This Row],[Reporting Frequency]],Frequency[],2,0),"")</calculatedColumnFormula>
    </tableColumn>
    <tableColumn id="33" xr3:uid="{23D48CC9-0F59-CC46-BE5C-D2ABC81803FC}" name="Monthly Reporting Cost" dataDxfId="60">
      <calculatedColumnFormula>IFERROR(Costing[[#This Row],[Reporting Hours/Month]]*Costing[[#This Row],[Reporting Rate]],0)</calculatedColumnFormula>
    </tableColumn>
    <tableColumn id="34" xr3:uid="{C3413EAE-2B7C-FF40-98B0-FBD1C3C4586D}" name="BAS 1" dataDxfId="59"/>
    <tableColumn id="35" xr3:uid="{CAABB578-DF7A-8347-8776-B22E0E5B7761}" name="BAS 1 Team" dataDxfId="58"/>
    <tableColumn id="36" xr3:uid="{5F29874D-8022-BC44-8882-AED8D86247B7}" name="BAS 1 Frequency" dataDxfId="57"/>
    <tableColumn id="37" xr3:uid="{A6B6145E-9844-E048-A4EE-DDD06D1760F9}" name="Minutes/BAS 1" dataDxfId="56"/>
    <tableColumn id="38" xr3:uid="{40DD722C-02DD-AB4E-AB7B-CCC817D25F50}" name="BAS 1 Hours/Month" dataDxfId="55">
      <calculatedColumnFormula>IFERROR(Costing[[#This Row],[Minutes/BAS 1]]*Costing[[#This Row],[BAS 1 Factor]]/60,"")</calculatedColumnFormula>
    </tableColumn>
    <tableColumn id="39" xr3:uid="{BD36ED4E-D99E-0244-8467-ECFCEF154775}" name="BAS 1 Rate" dataDxfId="54">
      <calculatedColumnFormula>IFERROR(VLOOKUP(Costing[[#This Row],[BAS 1 Team]],Staff_Info[],4,0),"")</calculatedColumnFormula>
    </tableColumn>
    <tableColumn id="40" xr3:uid="{00766ED4-070C-474B-9920-40BBB45BB57B}" name="BAS 1 Factor" dataDxfId="53">
      <calculatedColumnFormula>IFERROR(VLOOKUP(Costing[[#This Row],[BAS 1 Frequency]],Frequency[],2,0),"")</calculatedColumnFormula>
    </tableColumn>
    <tableColumn id="41" xr3:uid="{6EEE432E-4474-0F4C-8689-CE2105FB42DA}" name="Monthly BAS 1 Cost" dataDxfId="52">
      <calculatedColumnFormula>IFERROR(Costing[[#This Row],[BAS 1 Hours/Month]]*Costing[[#This Row],[BAS 1 Rate]],0)</calculatedColumnFormula>
    </tableColumn>
    <tableColumn id="42" xr3:uid="{BFC0E4A7-163C-4243-9434-C47972335853}" name="BAS 2" dataDxfId="51"/>
    <tableColumn id="43" xr3:uid="{3CD3C4C3-FED7-2741-8674-C1F530BD8469}" name="BAS 2 Team" dataDxfId="50"/>
    <tableColumn id="44" xr3:uid="{4DAD4294-8C69-1F42-9357-305A81BA63C3}" name="BAS 2 Frequency" dataDxfId="49"/>
    <tableColumn id="45" xr3:uid="{16C9124C-6A7F-974F-BA87-9B393FDCED48}" name="Minutes/BAS 2" dataDxfId="48"/>
    <tableColumn id="46" xr3:uid="{A9F5B7AF-DABD-A741-8139-21605932954F}" name="BAS 2 Hours/Month" dataDxfId="47">
      <calculatedColumnFormula>IFERROR(Costing[[#This Row],[Minutes/BAS 2]]*Costing[[#This Row],[BAS 2 Factor]]/60,"")</calculatedColumnFormula>
    </tableColumn>
    <tableColumn id="47" xr3:uid="{52099FB7-DF90-D24D-B818-24DF9DEC562D}" name="BAS 2 Rate" dataDxfId="46">
      <calculatedColumnFormula>IFERROR(VLOOKUP(Costing[[#This Row],[BAS 2 Team]],Staff_Info[],4,0),"")</calculatedColumnFormula>
    </tableColumn>
    <tableColumn id="48" xr3:uid="{92BBD38A-C793-B04B-87BE-E808D348D3AF}" name="BAS 2 Factor" dataDxfId="45">
      <calculatedColumnFormula>IFERROR(VLOOKUP(Costing[[#This Row],[BAS 2 Frequency]],Frequency[],2,0),"")</calculatedColumnFormula>
    </tableColumn>
    <tableColumn id="49" xr3:uid="{8E4EB7C1-8A0E-0C4A-86B2-F7CFBCC5F433}" name="Monthly BAS 2 Cost" dataDxfId="44">
      <calculatedColumnFormula>IFERROR(Costing[[#This Row],[BAS 2 Hours/Month]]*Costing[[#This Row],[BAS 2 Rate]],0)</calculatedColumnFormula>
    </tableColumn>
    <tableColumn id="50" xr3:uid="{B71D0624-30F2-9541-BA30-E1E6B45B2662}" name="IAS" dataDxfId="43"/>
    <tableColumn id="51" xr3:uid="{B4BF9796-9388-DA4C-A5B5-A42784227A77}" name="IAS Team" dataDxfId="42"/>
    <tableColumn id="52" xr3:uid="{49C54ED6-92BE-2246-85EC-DAB77EA11428}" name="IAS Frequency" dataDxfId="41"/>
    <tableColumn id="53" xr3:uid="{2340185F-26E6-0B47-AD89-147069A6C9B6}" name="Minutes/IAS" dataDxfId="40"/>
    <tableColumn id="54" xr3:uid="{63278CDC-971F-3B44-8FF3-9CA2AE54D009}" name="IAS Hours/Month" dataDxfId="39">
      <calculatedColumnFormula>IFERROR(Costing[[#This Row],[Minutes/IAS]]*Costing[[#This Row],[IAS Factor]]/60,"")</calculatedColumnFormula>
    </tableColumn>
    <tableColumn id="55" xr3:uid="{36CB046A-31D3-9C43-8018-80E81391B6FF}" name="IAS Rate" dataDxfId="38">
      <calculatedColumnFormula>IFERROR(VLOOKUP(Costing[[#This Row],[IAS Team]],Staff_Info[],4,0),"")</calculatedColumnFormula>
    </tableColumn>
    <tableColumn id="56" xr3:uid="{16CDB94F-4E51-714F-AF8C-88E2F128FB52}" name="IAS Factor" dataDxfId="37">
      <calculatedColumnFormula>IFERROR(VLOOKUP(Costing[[#This Row],[IAS Frequency]],Frequency[],2,0),"")</calculatedColumnFormula>
    </tableColumn>
    <tableColumn id="57" xr3:uid="{652E8AF3-3887-BA42-9AFC-D38A561543B2}" name="Monthly IAS Cost" dataDxfId="36" dataCellStyle="Currency">
      <calculatedColumnFormula>IFERROR(Costing[[#This Row],[IAS Hours/Month]]*Costing[[#This Row],[IAS Rate]],0)</calculatedColumnFormula>
    </tableColumn>
    <tableColumn id="58" xr3:uid="{AE91F60A-1790-D54A-9F5D-09322A2228A9}" name="EOFY 1" dataDxfId="35"/>
    <tableColumn id="59" xr3:uid="{37ADEAAB-A228-0945-B9AF-04946603DE22}" name="EOFY Team 1" dataDxfId="34"/>
    <tableColumn id="60" xr3:uid="{220540DD-192B-FE45-9947-083FD651710A}" name="Time Min 1" dataDxfId="33"/>
    <tableColumn id="61" xr3:uid="{21EE6DF3-2897-FF42-BD9F-62D4C5D86B77}" name="EOFY Team 1 Rate" dataDxfId="32">
      <calculatedColumnFormula>IFERROR(VLOOKUP(Costing[[#This Row],[EOFY Team 1]],Staff_Info[],4,0),"")</calculatedColumnFormula>
    </tableColumn>
    <tableColumn id="62" xr3:uid="{E88129D9-420E-F74D-A6E6-AE5BE37EC6C2}" name="EOFY 1 Min/Month" dataDxfId="31">
      <calculatedColumnFormula>Costing[[#This Row],[Time Min 1]]/12</calculatedColumnFormula>
    </tableColumn>
    <tableColumn id="63" xr3:uid="{04D10449-62FB-2A4D-B994-CBE994964874}" name="EOFY Team 2" dataDxfId="30"/>
    <tableColumn id="64" xr3:uid="{49BE07D2-85D9-B642-B2DF-E66A5B525B09}" name="Time Min 2" dataDxfId="29"/>
    <tableColumn id="67" xr3:uid="{31541B9D-7D1A-1740-A51A-072BEAE1EFD7}" name="EOFY Team 2 Rate" dataDxfId="28">
      <calculatedColumnFormula>IFERROR(VLOOKUP(Costing[[#This Row],[EOFY Team 2]],Staff_Info[],4,0),"")</calculatedColumnFormula>
    </tableColumn>
    <tableColumn id="65" xr3:uid="{5EA1F147-2299-1F40-9885-B6F10FD415C0}" name="EOFY 2 Min/Month" dataDxfId="27">
      <calculatedColumnFormula>Costing[[#This Row],[Time Min 2]]/12</calculatedColumnFormula>
    </tableColumn>
    <tableColumn id="66" xr3:uid="{7B941C6F-7952-BB4D-8BA8-D326192C45A3}" name="Monthly EOFY Cost" dataDxfId="26">
      <calculatedColumnFormula>IFERROR((Costing[[#This Row],[EOFY 1 Min/Month]]/60*Costing[[#This Row],[EOFY Team 1 Rate]])+(Costing[[#This Row],[EOFY 2 Min/Month]]/60*Costing[[#This Row],[EOFY Team 2 Rate]]),0)</calculatedColumnFormula>
    </tableColumn>
    <tableColumn id="68" xr3:uid="{FD5B29EB-1DDC-0D4D-B0D8-1E09DF23F775}" name="Software Name" dataDxfId="25"/>
    <tableColumn id="69" xr3:uid="{406B57BA-0809-994C-81BE-7B7990B54606}" name="Software Cost" dataDxfId="24">
      <calculatedColumnFormula>IFERROR(VLOOKUP(Costing[[#This Row],[Software Name]],Software[],2,0),0)</calculatedColumnFormula>
    </tableColumn>
    <tableColumn id="81" xr3:uid="{585758AF-5BEA-C646-B9D2-87078A9FEB77}" name="Onboarding" dataDxfId="23"/>
    <tableColumn id="70" xr3:uid="{081BBD54-8A25-8443-8DEC-5651E15F54F8}" name="Onboarding Team" dataDxfId="22"/>
    <tableColumn id="71" xr3:uid="{F7E9004C-2B34-6644-8141-CDAA79DD09E0}" name="Onboarding Minutes" dataDxfId="21">
      <calculatedColumnFormula>IF(Costing[[#This Row],[Minutes/Activity]]&gt;0,Costing[[#This Row],[Minutes/Activity]]*Costing[[#This Row],[Onboarding Factor]],"")</calculatedColumnFormula>
    </tableColumn>
    <tableColumn id="73" xr3:uid="{B629C176-6B19-104A-ACA3-2DDC6BEE9E3B}" name="Onboarding Hours" dataDxfId="20">
      <calculatedColumnFormula>IFERROR(Costing[[#This Row],[Onboarding Minutes]]/60,)</calculatedColumnFormula>
    </tableColumn>
    <tableColumn id="80" xr3:uid="{63ACE777-807F-114E-9416-5EB478086ED8}" name="Client Life Expectancy (Months)" dataDxfId="19">
      <calculatedColumnFormula>6.66*12</calculatedColumnFormula>
    </tableColumn>
    <tableColumn id="74" xr3:uid="{EDDED32C-CF96-5C4B-9316-EB8D7BD8E6A6}" name="Onboarding Rate" dataDxfId="18">
      <calculatedColumnFormula>IFERROR(VLOOKUP(Costing[[#This Row],[Onboarding Team]],Staff_Info[],4,0),"")</calculatedColumnFormula>
    </tableColumn>
    <tableColumn id="78" xr3:uid="{B970B2AF-98B7-5B41-8EBF-49A8B0015880}" name="Onboarding Factor" dataDxfId="17">
      <calculatedColumnFormula>$BX$1</calculatedColumnFormula>
    </tableColumn>
    <tableColumn id="79" xr3:uid="{8FC0FCB8-D7A3-7046-AB1E-BFD86D84902B}" name="Total Onboarding Monthly Cost" dataDxfId="16">
      <calculatedColumnFormula>IFERROR(Costing[[#This Row],[Onboarding Hours]]/Costing[[#This Row],[Client Life Expectancy (Months)]]*Costing[[#This Row],[Onboarding Rate]],0)</calculatedColumnFormula>
    </tableColumn>
    <tableColumn id="72" xr3:uid="{CB95CAF4-9E1C-F146-9A41-A2706443D111}" name="Total  Cost excl. Software" dataDxfId="15">
      <calculatedColumnFormula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calculatedColumnFormula>
    </tableColumn>
    <tableColumn id="75" xr3:uid="{AD6BF6A5-493F-C142-A11C-67A2656F0A9E}" name="Current Sales Price" dataDxfId="14"/>
    <tableColumn id="76" xr3:uid="{F55E5A60-46E6-2648-B2D1-69B409BB6288}" name="Current Margin" dataDxfId="13" dataCellStyle="Per cent">
      <calculatedColumnFormula>IFERROR((Costing[[#This Row],[Current Sales Price]]-Costing[[#This Row],[Total  Cost excl. Software]])/Costing[[#This Row],[Current Sales Price]],)</calculatedColumnFormula>
    </tableColumn>
    <tableColumn id="77" xr3:uid="{9F24B9F5-9AC8-BA49-AF88-AA18AD2C197D}" name="Suggested Sale Price" dataDxfId="12">
      <calculatedColumnFormula>Costing[[#This Row],[Total  Cost excl. Software]]/(1-$CC$1)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34FB22-5F55-6242-BF34-2E025E3F7B02}" name="Staff_Info" displayName="Staff_Info" ref="A1:E10" totalsRowShown="0">
  <autoFilter ref="A1:E10" xr:uid="{C1E9AE28-034E-C94E-B4C6-850F7FB273AB}"/>
  <tableColumns count="5">
    <tableColumn id="2" xr3:uid="{A54BDAC1-74D4-9041-A8F1-563E42944B71}" name="Staff First Name"/>
    <tableColumn id="3" xr3:uid="{03FC8607-EDED-B241-9A90-0CC6C538ABF9}" name="Staff Last Name"/>
    <tableColumn id="4" xr3:uid="{E96C8A92-88D6-C343-A959-046115ACEB16}" name="Staff Email">
      <calculatedColumnFormula>LOWER(A2)&amp;"@connecttbs.com"</calculatedColumnFormula>
    </tableColumn>
    <tableColumn id="5" xr3:uid="{DFA6CAFC-E4D8-5D44-AC20-42A3E47C7FFE}" name="Pay Rate" dataDxfId="11"/>
    <tableColumn id="6" xr3:uid="{86C1A29F-FE5B-D840-9DFE-8FF325F3BE37}" name="DOB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BF56B05-18F8-9944-BC72-3C01876EF94A}" name="No_Of_Employees" displayName="No_Of_Employees" ref="A1:A5" totalsRowShown="0">
  <autoFilter ref="A1:A5" xr:uid="{C62B5513-EE64-F149-AE86-158F45CA50DD}"/>
  <tableColumns count="1">
    <tableColumn id="1" xr3:uid="{8A29A960-EA5F-7440-95DF-DE30131099D8}" name="No. of Employe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D4A1B06-1166-3245-B8E1-7F300D66D402}" name="Frequency" displayName="Frequency" ref="C1:D7" totalsRowShown="0">
  <autoFilter ref="C1:D7" xr:uid="{A71C42AB-EDE8-2741-804E-FC0CBFD2ADCE}"/>
  <tableColumns count="2">
    <tableColumn id="1" xr3:uid="{18FD1A46-A963-3249-88D0-D750794A28A7}" name="Frequency"/>
    <tableColumn id="2" xr3:uid="{B2A5B65C-E874-9446-A803-E7944D4CF0BB}" name="Factor" dataDxfId="1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BFCE5CC-5945-5E41-AE12-94B09A016325}" name="Software" displayName="Software" ref="F1:G16" totalsRowShown="0">
  <autoFilter ref="F1:G16" xr:uid="{3B027094-8197-2A40-B391-BB8486C1149D}"/>
  <tableColumns count="2">
    <tableColumn id="1" xr3:uid="{67DF445D-5513-4F40-A5AE-F110154D8B82}" name="Software" dataDxfId="9"/>
    <tableColumn id="2" xr3:uid="{A483335D-E325-3B4E-A78C-B87847934E32}" name="Cost " dataDxfId="8" dataCellStyle="Currency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B190E1C-36BD-4C47-886E-276F3E6ED088}" name="Services" displayName="Services" ref="I1:I10" totalsRowShown="0">
  <autoFilter ref="I1:I10" xr:uid="{C2C55311-4B9D-0841-BC43-51DE0569A074}"/>
  <tableColumns count="1">
    <tableColumn id="1" xr3:uid="{C93CA39F-57F4-724A-B4E8-94DB55368990}" name="Service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679249F-C730-C642-BEFA-CFF1D508E355}" name="Industries" displayName="Industries" ref="A1:B26" totalsRowShown="0">
  <autoFilter ref="A1:B26" xr:uid="{71594E87-3C29-5047-89E5-20A75F61624C}"/>
  <sortState xmlns:xlrd2="http://schemas.microsoft.com/office/spreadsheetml/2017/richdata2" ref="A2:B25">
    <sortCondition ref="A1:A25"/>
  </sortState>
  <tableColumns count="2">
    <tableColumn id="1" xr3:uid="{00DD154C-4BFD-484B-88CA-6FCFEB5DB207}" name="Industry" dataDxfId="7"/>
    <tableColumn id="2" xr3:uid="{D7EE685E-654B-1542-8892-37A8CB3FF876}" name="No. Of Clients" dataDxfId="6">
      <calculatedColumnFormula>COUNTIF('Client Info'!D:D,Industries[[#This Row],[Industry]])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36D9A77-AA1C-374F-9CE8-1995223BF696}" name="Budgeted_Time" displayName="Budgeted_Time" ref="A1:D821" totalsRowShown="0" headerRowDxfId="5" dataDxfId="4">
  <autoFilter ref="A1:D821" xr:uid="{A39BE0F9-E8EB-9C48-A91E-D216352A4395}"/>
  <sortState xmlns:xlrd2="http://schemas.microsoft.com/office/spreadsheetml/2017/richdata2" ref="A2:D739">
    <sortCondition ref="A1:A739"/>
  </sortState>
  <tableColumns count="4">
    <tableColumn id="1" xr3:uid="{5C801F66-301C-174F-88F6-EA7587ED7A96}" name="Client" dataDxfId="3"/>
    <tableColumn id="2" xr3:uid="{5CE72C7E-2FE8-684B-AB02-5DE07F860C2B}" name="Work Type" dataDxfId="2"/>
    <tableColumn id="3" xr3:uid="{52FF9C79-129C-F248-B241-C4EFCB7003D8}" name="Employee" dataDxfId="1"/>
    <tableColumn id="4" xr3:uid="{16CC8C67-5CE3-1F43-B1D1-06AA0DC82303}" name="Budgeted Time (Min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4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3DF3D-D1C3-4B43-827F-1BC8F2197A58}">
  <sheetPr codeName="Sheet2"/>
  <dimension ref="D5:I28"/>
  <sheetViews>
    <sheetView zoomScale="115" workbookViewId="0">
      <selection activeCell="H10" sqref="H10"/>
    </sheetView>
  </sheetViews>
  <sheetFormatPr baseColWidth="10" defaultRowHeight="16" x14ac:dyDescent="0.2"/>
  <cols>
    <col min="1" max="3" width="10.83203125" style="29"/>
    <col min="4" max="4" width="20" style="29" bestFit="1" customWidth="1"/>
    <col min="5" max="5" width="19.5" style="29" customWidth="1"/>
    <col min="6" max="6" width="14.6640625" style="29" bestFit="1" customWidth="1"/>
    <col min="7" max="7" width="16.6640625" style="29" customWidth="1"/>
    <col min="8" max="8" width="15.5" style="29" bestFit="1" customWidth="1"/>
    <col min="9" max="9" width="17.5" style="29" customWidth="1"/>
    <col min="10" max="10" width="14.6640625" style="29" bestFit="1" customWidth="1"/>
    <col min="11" max="16384" width="10.83203125" style="29"/>
  </cols>
  <sheetData>
    <row r="5" spans="4:9" x14ac:dyDescent="0.2">
      <c r="D5" s="31" t="s">
        <v>254</v>
      </c>
      <c r="E5" s="42" t="s">
        <v>297</v>
      </c>
    </row>
    <row r="6" spans="4:9" x14ac:dyDescent="0.2">
      <c r="D6" s="31" t="s">
        <v>121</v>
      </c>
      <c r="E6" s="42" t="s">
        <v>92</v>
      </c>
    </row>
    <row r="7" spans="4:9" x14ac:dyDescent="0.2">
      <c r="D7" s="31" t="s">
        <v>255</v>
      </c>
      <c r="E7" s="42" t="s">
        <v>119</v>
      </c>
    </row>
    <row r="8" spans="4:9" x14ac:dyDescent="0.2">
      <c r="D8" s="31" t="s">
        <v>138</v>
      </c>
      <c r="E8" s="42" t="s">
        <v>94</v>
      </c>
    </row>
    <row r="9" spans="4:9" x14ac:dyDescent="0.2">
      <c r="D9" s="31" t="s">
        <v>256</v>
      </c>
      <c r="E9" s="42" t="s">
        <v>150</v>
      </c>
    </row>
    <row r="10" spans="4:9" x14ac:dyDescent="0.2">
      <c r="D10" s="31" t="s">
        <v>296</v>
      </c>
      <c r="E10" s="42" t="s">
        <v>126</v>
      </c>
    </row>
    <row r="12" spans="4:9" x14ac:dyDescent="0.2">
      <c r="D12" s="67" t="s">
        <v>257</v>
      </c>
      <c r="E12" s="68"/>
      <c r="F12" s="69" t="s">
        <v>176</v>
      </c>
      <c r="G12" s="68"/>
      <c r="H12" s="69" t="s">
        <v>177</v>
      </c>
      <c r="I12" s="68"/>
    </row>
    <row r="13" spans="4:9" x14ac:dyDescent="0.2">
      <c r="D13" s="36" t="s">
        <v>122</v>
      </c>
      <c r="E13" s="43" t="s">
        <v>118</v>
      </c>
      <c r="F13" s="36" t="s">
        <v>122</v>
      </c>
      <c r="G13" s="43" t="s">
        <v>118</v>
      </c>
      <c r="H13" s="39" t="s">
        <v>122</v>
      </c>
      <c r="I13" s="43" t="s">
        <v>118</v>
      </c>
    </row>
    <row r="14" spans="4:9" x14ac:dyDescent="0.2">
      <c r="D14" s="36" t="s">
        <v>258</v>
      </c>
      <c r="E14" s="43" t="s">
        <v>183</v>
      </c>
      <c r="F14" s="36" t="s">
        <v>258</v>
      </c>
      <c r="G14" s="43" t="s">
        <v>183</v>
      </c>
      <c r="H14" s="39" t="s">
        <v>258</v>
      </c>
      <c r="I14" s="43" t="s">
        <v>157</v>
      </c>
    </row>
    <row r="15" spans="4:9" x14ac:dyDescent="0.2">
      <c r="D15" s="36" t="s">
        <v>264</v>
      </c>
      <c r="E15" s="44">
        <v>60</v>
      </c>
      <c r="F15" s="36" t="s">
        <v>265</v>
      </c>
      <c r="G15" s="44">
        <v>70</v>
      </c>
      <c r="H15" s="39" t="s">
        <v>266</v>
      </c>
      <c r="I15" s="44">
        <v>90</v>
      </c>
    </row>
    <row r="16" spans="4:9" x14ac:dyDescent="0.2">
      <c r="D16" s="38"/>
      <c r="E16" s="38"/>
      <c r="F16" s="38"/>
      <c r="G16" s="38"/>
      <c r="H16" s="38"/>
      <c r="I16" s="38"/>
    </row>
    <row r="18" spans="4:9" x14ac:dyDescent="0.2">
      <c r="D18" s="70" t="s">
        <v>178</v>
      </c>
      <c r="E18" s="71"/>
      <c r="F18" s="72" t="s">
        <v>179</v>
      </c>
      <c r="G18" s="71"/>
      <c r="H18" s="72" t="s">
        <v>180</v>
      </c>
      <c r="I18" s="71"/>
    </row>
    <row r="19" spans="4:9" x14ac:dyDescent="0.2">
      <c r="D19" s="32" t="s">
        <v>122</v>
      </c>
      <c r="E19" s="45" t="s">
        <v>126</v>
      </c>
      <c r="F19" s="34" t="s">
        <v>122</v>
      </c>
      <c r="G19" s="45" t="s">
        <v>118</v>
      </c>
      <c r="H19" s="34" t="s">
        <v>122</v>
      </c>
      <c r="I19" s="45" t="s">
        <v>117</v>
      </c>
    </row>
    <row r="20" spans="4:9" x14ac:dyDescent="0.2">
      <c r="D20" s="32" t="s">
        <v>258</v>
      </c>
      <c r="E20" s="45" t="s">
        <v>183</v>
      </c>
      <c r="F20" s="34" t="s">
        <v>258</v>
      </c>
      <c r="G20" s="45" t="s">
        <v>183</v>
      </c>
      <c r="H20" s="34" t="s">
        <v>258</v>
      </c>
      <c r="I20" s="45" t="s">
        <v>157</v>
      </c>
    </row>
    <row r="21" spans="4:9" x14ac:dyDescent="0.2">
      <c r="D21" s="32" t="s">
        <v>267</v>
      </c>
      <c r="E21" s="46">
        <v>25</v>
      </c>
      <c r="F21" s="34" t="s">
        <v>268</v>
      </c>
      <c r="G21" s="46">
        <v>2</v>
      </c>
      <c r="H21" s="34" t="s">
        <v>268</v>
      </c>
      <c r="I21" s="46">
        <v>15</v>
      </c>
    </row>
    <row r="23" spans="4:9" x14ac:dyDescent="0.2">
      <c r="D23" s="67" t="s">
        <v>181</v>
      </c>
      <c r="E23" s="68"/>
      <c r="F23" s="69" t="s">
        <v>182</v>
      </c>
      <c r="G23" s="68"/>
      <c r="H23" s="69" t="s">
        <v>263</v>
      </c>
      <c r="I23" s="68"/>
    </row>
    <row r="24" spans="4:9" x14ac:dyDescent="0.2">
      <c r="D24" s="36" t="s">
        <v>122</v>
      </c>
      <c r="E24" s="43" t="s">
        <v>119</v>
      </c>
      <c r="F24" s="36" t="s">
        <v>259</v>
      </c>
      <c r="G24" s="43" t="s">
        <v>117</v>
      </c>
      <c r="H24" s="39" t="s">
        <v>262</v>
      </c>
      <c r="I24" s="43" t="s">
        <v>162</v>
      </c>
    </row>
    <row r="25" spans="4:9" x14ac:dyDescent="0.2">
      <c r="D25" s="36" t="s">
        <v>258</v>
      </c>
      <c r="E25" s="43" t="s">
        <v>157</v>
      </c>
      <c r="F25" s="36" t="s">
        <v>270</v>
      </c>
      <c r="G25" s="44">
        <v>90</v>
      </c>
      <c r="H25" s="40"/>
      <c r="I25" s="37"/>
    </row>
    <row r="26" spans="4:9" x14ac:dyDescent="0.2">
      <c r="D26" s="36" t="s">
        <v>269</v>
      </c>
      <c r="E26" s="44">
        <v>60</v>
      </c>
      <c r="F26" s="41" t="s">
        <v>260</v>
      </c>
      <c r="G26" s="43" t="s">
        <v>119</v>
      </c>
      <c r="H26" s="40"/>
      <c r="I26" s="37"/>
    </row>
    <row r="27" spans="4:9" x14ac:dyDescent="0.2">
      <c r="D27" s="38"/>
      <c r="E27" s="38"/>
      <c r="F27" s="41" t="s">
        <v>270</v>
      </c>
      <c r="G27" s="44">
        <v>15</v>
      </c>
      <c r="H27" s="40"/>
      <c r="I27" s="37"/>
    </row>
    <row r="28" spans="4:9" x14ac:dyDescent="0.2">
      <c r="F28" s="33"/>
      <c r="G28" s="35"/>
    </row>
  </sheetData>
  <sheetProtection selectLockedCells="1"/>
  <mergeCells count="9">
    <mergeCell ref="D23:E23"/>
    <mergeCell ref="F23:G23"/>
    <mergeCell ref="D12:E12"/>
    <mergeCell ref="F12:G12"/>
    <mergeCell ref="H12:I12"/>
    <mergeCell ref="D18:E18"/>
    <mergeCell ref="F18:G18"/>
    <mergeCell ref="H18:I18"/>
    <mergeCell ref="H23:I23"/>
  </mergeCells>
  <dataValidations count="5">
    <dataValidation type="list" allowBlank="1" showInputMessage="1" showErrorMessage="1" sqref="E6" xr:uid="{A4F527BE-CA1B-D147-BDC7-A00476EE87CA}">
      <formula1>"Y,N"</formula1>
    </dataValidation>
    <dataValidation type="list" allowBlank="1" showInputMessage="1" showErrorMessage="1" sqref="E7 E13 G13 I13 E19 G19 I19 E24 G24 G26 E10" xr:uid="{26127701-77D3-394B-9DFA-F42D68DAFB81}">
      <formula1>Staff_First_Name</formula1>
    </dataValidation>
    <dataValidation type="list" allowBlank="1" showInputMessage="1" showErrorMessage="1" sqref="E8" xr:uid="{C9F2734D-322F-FD48-B0A0-214F287BF63D}">
      <formula1>Industry_Name</formula1>
    </dataValidation>
    <dataValidation type="list" allowBlank="1" showInputMessage="1" showErrorMessage="1" sqref="E14 G14 I14 E20 G20 I20 E25" xr:uid="{AEAB9E82-95EC-4144-AB4B-1470723FD5BF}">
      <formula1>Freq</formula1>
    </dataValidation>
    <dataValidation type="list" allowBlank="1" showInputMessage="1" showErrorMessage="1" sqref="I24" xr:uid="{798C70DD-9224-F44F-9AD0-4093E57C29E5}">
      <formula1>Package_Names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F3C6C0B-6C1F-F344-882A-EDDFDB09C44E}">
          <x14:formula1>
            <xm:f>'Data Validation'!$A$2:$A$5</xm:f>
          </x14:formula1>
          <xm:sqref>E9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B1287-AD38-AD48-AC4B-4AF394DE6D0E}">
  <sheetPr codeName="Sheet1"/>
  <dimension ref="A2:J99"/>
  <sheetViews>
    <sheetView zoomScale="109" workbookViewId="0">
      <pane xSplit="1" topLeftCell="B1" activePane="topRight" state="frozen"/>
      <selection pane="topRight" activeCell="K13" sqref="K13"/>
    </sheetView>
  </sheetViews>
  <sheetFormatPr baseColWidth="10" defaultRowHeight="16" x14ac:dyDescent="0.2"/>
  <cols>
    <col min="1" max="1" width="27.83203125" bestFit="1" customWidth="1"/>
    <col min="3" max="3" width="12.1640625" bestFit="1" customWidth="1"/>
    <col min="4" max="4" width="30.33203125" bestFit="1" customWidth="1"/>
    <col min="5" max="5" width="18" bestFit="1" customWidth="1"/>
    <col min="7" max="7" width="20.1640625" bestFit="1" customWidth="1"/>
    <col min="8" max="8" width="16.33203125" bestFit="1" customWidth="1"/>
  </cols>
  <sheetData>
    <row r="2" spans="1:10" x14ac:dyDescent="0.2">
      <c r="A2" s="3" t="s">
        <v>120</v>
      </c>
      <c r="B2" s="3" t="s">
        <v>272</v>
      </c>
      <c r="C2" s="3" t="s">
        <v>273</v>
      </c>
      <c r="D2" s="3" t="s">
        <v>0</v>
      </c>
      <c r="E2" s="3" t="s">
        <v>144</v>
      </c>
      <c r="F2" s="3" t="s">
        <v>244</v>
      </c>
      <c r="G2" s="3" t="s">
        <v>246</v>
      </c>
    </row>
    <row r="3" spans="1:10" x14ac:dyDescent="0.2">
      <c r="A3" s="2" t="s">
        <v>2</v>
      </c>
      <c r="B3" s="4" t="s">
        <v>91</v>
      </c>
      <c r="C3" s="4" t="s">
        <v>128</v>
      </c>
      <c r="D3" s="5" t="s">
        <v>93</v>
      </c>
      <c r="E3" s="2"/>
      <c r="F3" s="19" t="str">
        <f>IFERROR(VLOOKUP(Clients[[#This Row],[Clients]],Costing[],MATCH("Total  Cost excl. Software",Costing[#Headers],0),0),"")</f>
        <v/>
      </c>
      <c r="G3" s="19" t="str">
        <f>IFERROR(VLOOKUP(Clients[[#This Row],[Clients]],Costing[],MATCH("Current Sales Price",Costing[#Headers],0),0),"")</f>
        <v/>
      </c>
    </row>
    <row r="4" spans="1:10" x14ac:dyDescent="0.2">
      <c r="A4" s="2" t="s">
        <v>3</v>
      </c>
      <c r="B4" s="4" t="s">
        <v>92</v>
      </c>
      <c r="C4" s="4" t="s">
        <v>115</v>
      </c>
      <c r="D4" s="5" t="s">
        <v>93</v>
      </c>
      <c r="E4" s="1" t="s">
        <v>150</v>
      </c>
      <c r="F4" s="19">
        <f>IFERROR(VLOOKUP(Clients[[#This Row],[Clients]],Costing[],MATCH("Total  Cost excl. Software",Costing[#Headers],0),0),"")</f>
        <v>30.180805805805804</v>
      </c>
      <c r="G4" s="19">
        <f>IFERROR(VLOOKUP(Clients[[#This Row],[Clients]],Costing[],MATCH("Current Sales Price",Costing[#Headers],0),0),"")</f>
        <v>68</v>
      </c>
      <c r="J4" s="1"/>
    </row>
    <row r="5" spans="1:10" x14ac:dyDescent="0.2">
      <c r="A5" s="2" t="s">
        <v>277</v>
      </c>
      <c r="B5" s="4" t="s">
        <v>92</v>
      </c>
      <c r="C5" s="4" t="s">
        <v>117</v>
      </c>
      <c r="D5" s="5" t="s">
        <v>94</v>
      </c>
      <c r="E5" s="1" t="s">
        <v>153</v>
      </c>
      <c r="F5" s="19">
        <f>IFERROR(VLOOKUP(Clients[[#This Row],[Clients]],Costing[],MATCH("Total  Cost excl. Software",Costing[#Headers],0),0),"")</f>
        <v>258.91704204204206</v>
      </c>
      <c r="G5" s="19">
        <f>IFERROR(VLOOKUP(Clients[[#This Row],[Clients]],Costing[],MATCH("Current Sales Price",Costing[#Headers],0),0),"")</f>
        <v>775.8</v>
      </c>
      <c r="J5" s="1"/>
    </row>
    <row r="6" spans="1:10" x14ac:dyDescent="0.2">
      <c r="A6" s="2" t="s">
        <v>4</v>
      </c>
      <c r="B6" s="4" t="s">
        <v>92</v>
      </c>
      <c r="C6" s="4" t="s">
        <v>118</v>
      </c>
      <c r="D6" s="5" t="s">
        <v>93</v>
      </c>
      <c r="E6" s="1" t="s">
        <v>151</v>
      </c>
      <c r="F6" s="19">
        <f>IFERROR(VLOOKUP(Clients[[#This Row],[Clients]],Costing[],MATCH("Total  Cost excl. Software",Costing[#Headers],0),0),"")</f>
        <v>72.639514514514502</v>
      </c>
      <c r="G6" s="19">
        <f>IFERROR(VLOOKUP(Clients[[#This Row],[Clients]],Costing[],MATCH("Current Sales Price",Costing[#Headers],0),0),"")</f>
        <v>228.75</v>
      </c>
      <c r="J6" s="1"/>
    </row>
    <row r="7" spans="1:10" x14ac:dyDescent="0.2">
      <c r="A7" s="2" t="s">
        <v>5</v>
      </c>
      <c r="B7" s="4" t="s">
        <v>92</v>
      </c>
      <c r="C7" s="4" t="s">
        <v>117</v>
      </c>
      <c r="D7" s="5" t="s">
        <v>95</v>
      </c>
      <c r="E7" s="1"/>
      <c r="F7" s="19">
        <f>IFERROR(VLOOKUP(Clients[[#This Row],[Clients]],Costing[],MATCH("Total  Cost excl. Software",Costing[#Headers],0),0),"")</f>
        <v>84.65309059059058</v>
      </c>
      <c r="G7" s="19">
        <f>IFERROR(VLOOKUP(Clients[[#This Row],[Clients]],Costing[],MATCH("Current Sales Price",Costing[#Headers],0),0),"")</f>
        <v>265.91000000000003</v>
      </c>
      <c r="J7" s="1"/>
    </row>
    <row r="8" spans="1:10" x14ac:dyDescent="0.2">
      <c r="A8" s="2" t="s">
        <v>6</v>
      </c>
      <c r="B8" s="4" t="s">
        <v>92</v>
      </c>
      <c r="C8" s="4" t="s">
        <v>116</v>
      </c>
      <c r="D8" s="5" t="s">
        <v>96</v>
      </c>
      <c r="E8" s="1"/>
      <c r="F8" s="19">
        <f>IFERROR(VLOOKUP(Clients[[#This Row],[Clients]],Costing[],MATCH("Total  Cost excl. Software",Costing[#Headers],0),0),"")</f>
        <v>48.694944944944943</v>
      </c>
      <c r="G8" s="19">
        <f>IFERROR(VLOOKUP(Clients[[#This Row],[Clients]],Costing[],MATCH("Current Sales Price",Costing[#Headers],0),0),"")</f>
        <v>170.7</v>
      </c>
      <c r="J8" s="1"/>
    </row>
    <row r="9" spans="1:10" x14ac:dyDescent="0.2">
      <c r="A9" s="2" t="s">
        <v>7</v>
      </c>
      <c r="B9" s="4" t="s">
        <v>91</v>
      </c>
      <c r="C9" s="4" t="s">
        <v>128</v>
      </c>
      <c r="D9" s="5"/>
      <c r="E9" s="1"/>
      <c r="F9" s="19" t="str">
        <f>IFERROR(VLOOKUP(Clients[[#This Row],[Clients]],Costing[],MATCH("Total  Cost excl. Software",Costing[#Headers],0),0),"")</f>
        <v/>
      </c>
      <c r="G9" s="19" t="str">
        <f>IFERROR(VLOOKUP(Clients[[#This Row],[Clients]],Costing[],MATCH("Current Sales Price",Costing[#Headers],0),0),"")</f>
        <v/>
      </c>
      <c r="J9" s="1"/>
    </row>
    <row r="10" spans="1:10" x14ac:dyDescent="0.2">
      <c r="A10" s="2" t="s">
        <v>283</v>
      </c>
      <c r="B10" s="4" t="s">
        <v>92</v>
      </c>
      <c r="C10" s="4" t="s">
        <v>119</v>
      </c>
      <c r="D10" s="5"/>
      <c r="E10" s="2"/>
      <c r="F10" s="19">
        <f>IFERROR(VLOOKUP(Clients[[#This Row],[Clients]],Costing[],MATCH("Total  Cost excl. Software",Costing[#Headers],0),0),"")</f>
        <v>50.833333333333329</v>
      </c>
      <c r="G10" s="19">
        <f>IFERROR(VLOOKUP(Clients[[#This Row],[Clients]],Costing[],MATCH("Current Sales Price",Costing[#Headers],0),0),"")</f>
        <v>0</v>
      </c>
      <c r="J10" s="1"/>
    </row>
    <row r="11" spans="1:10" x14ac:dyDescent="0.2">
      <c r="A11" s="2" t="s">
        <v>8</v>
      </c>
      <c r="B11" s="4" t="s">
        <v>92</v>
      </c>
      <c r="C11" s="4" t="s">
        <v>116</v>
      </c>
      <c r="D11" s="5" t="s">
        <v>97</v>
      </c>
      <c r="E11" s="1"/>
      <c r="F11" s="19">
        <f>IFERROR(VLOOKUP(Clients[[#This Row],[Clients]],Costing[],MATCH("Total  Cost excl. Software",Costing[#Headers],0),0),"")</f>
        <v>146.19425675675677</v>
      </c>
      <c r="G11" s="19">
        <f>IFERROR(VLOOKUP(Clients[[#This Row],[Clients]],Costing[],MATCH("Current Sales Price",Costing[#Headers],0),0),"")</f>
        <v>307.8</v>
      </c>
      <c r="J11" s="1"/>
    </row>
    <row r="12" spans="1:10" x14ac:dyDescent="0.2">
      <c r="A12" s="2" t="s">
        <v>9</v>
      </c>
      <c r="B12" s="4" t="s">
        <v>92</v>
      </c>
      <c r="C12" s="4" t="s">
        <v>118</v>
      </c>
      <c r="D12" s="5" t="s">
        <v>98</v>
      </c>
      <c r="E12" s="1" t="s">
        <v>150</v>
      </c>
      <c r="F12" s="19">
        <f>IFERROR(VLOOKUP(Clients[[#This Row],[Clients]],Costing[],MATCH("Total  Cost excl. Software",Costing[#Headers],0),0),"")</f>
        <v>198.66741741741743</v>
      </c>
      <c r="G12" s="19">
        <f>IFERROR(VLOOKUP(Clients[[#This Row],[Clients]],Costing[],MATCH("Current Sales Price",Costing[#Headers],0),0),"")</f>
        <v>398</v>
      </c>
      <c r="J12" s="1"/>
    </row>
    <row r="13" spans="1:10" x14ac:dyDescent="0.2">
      <c r="A13" s="2" t="s">
        <v>10</v>
      </c>
      <c r="B13" s="4" t="s">
        <v>92</v>
      </c>
      <c r="C13" s="4" t="s">
        <v>115</v>
      </c>
      <c r="D13" s="5" t="s">
        <v>96</v>
      </c>
      <c r="E13" s="1" t="s">
        <v>151</v>
      </c>
      <c r="F13" s="19">
        <f>IFERROR(VLOOKUP(Clients[[#This Row],[Clients]],Costing[],MATCH("Total  Cost excl. Software",Costing[#Headers],0),0),"")</f>
        <v>103.25075075075074</v>
      </c>
      <c r="G13" s="19">
        <f>IFERROR(VLOOKUP(Clients[[#This Row],[Clients]],Costing[],MATCH("Current Sales Price",Costing[#Headers],0),0),"")</f>
        <v>345.76</v>
      </c>
      <c r="J13" s="1"/>
    </row>
    <row r="14" spans="1:10" x14ac:dyDescent="0.2">
      <c r="A14" s="2" t="s">
        <v>11</v>
      </c>
      <c r="B14" s="4" t="s">
        <v>92</v>
      </c>
      <c r="C14" s="4" t="s">
        <v>117</v>
      </c>
      <c r="D14" s="5" t="s">
        <v>95</v>
      </c>
      <c r="E14" s="1" t="s">
        <v>150</v>
      </c>
      <c r="F14" s="19">
        <f>IFERROR(VLOOKUP(Clients[[#This Row],[Clients]],Costing[],MATCH("Total  Cost excl. Software",Costing[#Headers],0),0),"")</f>
        <v>71.361236236236238</v>
      </c>
      <c r="G14" s="19">
        <f>IFERROR(VLOOKUP(Clients[[#This Row],[Clients]],Costing[],MATCH("Current Sales Price",Costing[#Headers],0),0),"")</f>
        <v>163.72999999999999</v>
      </c>
      <c r="J14" s="1"/>
    </row>
    <row r="15" spans="1:10" x14ac:dyDescent="0.2">
      <c r="A15" s="2" t="s">
        <v>281</v>
      </c>
      <c r="B15" s="4" t="s">
        <v>92</v>
      </c>
      <c r="C15" s="4" t="s">
        <v>116</v>
      </c>
      <c r="D15" s="5" t="s">
        <v>95</v>
      </c>
      <c r="E15" s="1"/>
      <c r="F15" s="19">
        <f>IFERROR(VLOOKUP(Clients[[#This Row],[Clients]],Costing[],MATCH("Total  Cost excl. Software",Costing[#Headers],0),0),"")</f>
        <v>24.944944944944943</v>
      </c>
      <c r="G15" s="19">
        <f>IFERROR(VLOOKUP(Clients[[#This Row],[Clients]],Costing[],MATCH("Current Sales Price",Costing[#Headers],0),0),"")</f>
        <v>145.44999999999999</v>
      </c>
      <c r="J15" s="1"/>
    </row>
    <row r="16" spans="1:10" x14ac:dyDescent="0.2">
      <c r="A16" s="2" t="s">
        <v>12</v>
      </c>
      <c r="B16" s="4" t="s">
        <v>92</v>
      </c>
      <c r="C16" s="4" t="s">
        <v>117</v>
      </c>
      <c r="D16" s="5" t="s">
        <v>93</v>
      </c>
      <c r="E16" s="1"/>
      <c r="F16" s="19">
        <f>IFERROR(VLOOKUP(Clients[[#This Row],[Clients]],Costing[],MATCH("Total  Cost excl. Software",Costing[#Headers],0),0),"")</f>
        <v>48.704120787454123</v>
      </c>
      <c r="G16" s="19">
        <f>IFERROR(VLOOKUP(Clients[[#This Row],[Clients]],Costing[],MATCH("Current Sales Price",Costing[#Headers],0),0),"")</f>
        <v>83.75</v>
      </c>
      <c r="J16" s="1"/>
    </row>
    <row r="17" spans="1:10" x14ac:dyDescent="0.2">
      <c r="A17" s="2" t="s">
        <v>13</v>
      </c>
      <c r="B17" s="4" t="s">
        <v>92</v>
      </c>
      <c r="C17" s="4" t="s">
        <v>117</v>
      </c>
      <c r="D17" s="5" t="s">
        <v>95</v>
      </c>
      <c r="E17" s="1" t="s">
        <v>151</v>
      </c>
      <c r="F17" s="19">
        <f>IFERROR(VLOOKUP(Clients[[#This Row],[Clients]],Costing[],MATCH("Total  Cost excl. Software",Costing[#Headers],0),0),"")</f>
        <v>215.35243576910244</v>
      </c>
      <c r="G17" s="19">
        <f>IFERROR(VLOOKUP(Clients[[#This Row],[Clients]],Costing[],MATCH("Current Sales Price",Costing[#Headers],0),0),"")</f>
        <v>588.36</v>
      </c>
      <c r="J17" s="1"/>
    </row>
    <row r="18" spans="1:10" x14ac:dyDescent="0.2">
      <c r="A18" s="2" t="s">
        <v>14</v>
      </c>
      <c r="B18" s="4" t="s">
        <v>92</v>
      </c>
      <c r="C18" s="4" t="s">
        <v>117</v>
      </c>
      <c r="D18" s="5" t="s">
        <v>95</v>
      </c>
      <c r="E18" s="1"/>
      <c r="F18" s="19">
        <f>IFERROR(VLOOKUP(Clients[[#This Row],[Clients]],Costing[],MATCH("Total  Cost excl. Software",Costing[#Headers],0),0),"")</f>
        <v>68.801405572238892</v>
      </c>
      <c r="G18" s="19">
        <f>IFERROR(VLOOKUP(Clients[[#This Row],[Clients]],Costing[],MATCH("Current Sales Price",Costing[#Headers],0),0),"")</f>
        <v>130</v>
      </c>
      <c r="J18" s="1"/>
    </row>
    <row r="19" spans="1:10" x14ac:dyDescent="0.2">
      <c r="A19" s="2" t="s">
        <v>15</v>
      </c>
      <c r="B19" s="4" t="s">
        <v>92</v>
      </c>
      <c r="C19" s="4" t="s">
        <v>115</v>
      </c>
      <c r="D19" s="5" t="s">
        <v>99</v>
      </c>
      <c r="E19" s="1" t="s">
        <v>151</v>
      </c>
      <c r="F19" s="19">
        <f>IFERROR(VLOOKUP(Clients[[#This Row],[Clients]],Costing[],MATCH("Total  Cost excl. Software",Costing[#Headers],0),0),"")</f>
        <v>167.414476976977</v>
      </c>
      <c r="G19" s="19">
        <f>IFERROR(VLOOKUP(Clients[[#This Row],[Clients]],Costing[],MATCH("Current Sales Price",Costing[#Headers],0),0),"")</f>
        <v>453.13</v>
      </c>
      <c r="J19" s="1"/>
    </row>
    <row r="20" spans="1:10" x14ac:dyDescent="0.2">
      <c r="A20" s="2" t="s">
        <v>16</v>
      </c>
      <c r="B20" s="4" t="s">
        <v>92</v>
      </c>
      <c r="C20" s="4" t="s">
        <v>116</v>
      </c>
      <c r="D20" s="5" t="s">
        <v>100</v>
      </c>
      <c r="E20" s="1"/>
      <c r="F20" s="19">
        <f>IFERROR(VLOOKUP(Clients[[#This Row],[Clients]],Costing[],MATCH("Total  Cost excl. Software",Costing[#Headers],0),0),"")</f>
        <v>32.153090590590594</v>
      </c>
      <c r="G20" s="19">
        <f>IFERROR(VLOOKUP(Clients[[#This Row],[Clients]],Costing[],MATCH("Current Sales Price",Costing[#Headers],0),0),"")</f>
        <v>52.5</v>
      </c>
      <c r="J20" s="2"/>
    </row>
    <row r="21" spans="1:10" x14ac:dyDescent="0.2">
      <c r="A21" s="2" t="s">
        <v>17</v>
      </c>
      <c r="B21" s="4" t="s">
        <v>92</v>
      </c>
      <c r="C21" s="4" t="s">
        <v>118</v>
      </c>
      <c r="D21" s="5" t="s">
        <v>95</v>
      </c>
      <c r="E21" s="1" t="s">
        <v>151</v>
      </c>
      <c r="F21" s="19">
        <f>IFERROR(VLOOKUP(Clients[[#This Row],[Clients]],Costing[],MATCH("Total  Cost excl. Software",Costing[#Headers],0),0),"")</f>
        <v>219.35268601935269</v>
      </c>
      <c r="G21" s="19">
        <f>IFERROR(VLOOKUP(Clients[[#This Row],[Clients]],Costing[],MATCH("Current Sales Price",Costing[#Headers],0),0),"")</f>
        <v>1206.8800000000001</v>
      </c>
      <c r="J21" s="1"/>
    </row>
    <row r="22" spans="1:10" x14ac:dyDescent="0.2">
      <c r="A22" s="2" t="s">
        <v>18</v>
      </c>
      <c r="B22" s="4" t="s">
        <v>92</v>
      </c>
      <c r="C22" s="4" t="s">
        <v>118</v>
      </c>
      <c r="D22" s="5" t="s">
        <v>101</v>
      </c>
      <c r="E22" s="1"/>
      <c r="F22" s="19">
        <f>IFERROR(VLOOKUP(Clients[[#This Row],[Clients]],Costing[],MATCH("Total  Cost excl. Software",Costing[#Headers],0),0),"")</f>
        <v>12.694569569569568</v>
      </c>
      <c r="G22" s="19">
        <f>IFERROR(VLOOKUP(Clients[[#This Row],[Clients]],Costing[],MATCH("Current Sales Price",Costing[#Headers],0),0),"")</f>
        <v>0</v>
      </c>
      <c r="J22" s="1"/>
    </row>
    <row r="23" spans="1:10" x14ac:dyDescent="0.2">
      <c r="A23" s="2" t="s">
        <v>19</v>
      </c>
      <c r="B23" s="4" t="s">
        <v>92</v>
      </c>
      <c r="C23" s="4" t="s">
        <v>115</v>
      </c>
      <c r="D23" s="5" t="s">
        <v>102</v>
      </c>
      <c r="E23" s="1"/>
      <c r="F23" s="19">
        <f>IFERROR(VLOOKUP(Clients[[#This Row],[Clients]],Costing[],MATCH("Total  Cost excl. Software",Costing[#Headers],0),0),"")</f>
        <v>15.389139139139136</v>
      </c>
      <c r="G23" s="19">
        <f>IFERROR(VLOOKUP(Clients[[#This Row],[Clients]],Costing[],MATCH("Current Sales Price",Costing[#Headers],0),0),"")</f>
        <v>55</v>
      </c>
      <c r="J23" s="1"/>
    </row>
    <row r="24" spans="1:10" x14ac:dyDescent="0.2">
      <c r="A24" s="2" t="s">
        <v>20</v>
      </c>
      <c r="B24" s="4" t="s">
        <v>92</v>
      </c>
      <c r="C24" s="4" t="s">
        <v>115</v>
      </c>
      <c r="D24" s="5" t="s">
        <v>103</v>
      </c>
      <c r="E24" s="1" t="s">
        <v>150</v>
      </c>
      <c r="F24" s="19">
        <f>IFERROR(VLOOKUP(Clients[[#This Row],[Clients]],Costing[],MATCH("Total  Cost excl. Software",Costing[#Headers],0),0),"")</f>
        <v>81.084834834834837</v>
      </c>
      <c r="G24" s="19">
        <f>IFERROR(VLOOKUP(Clients[[#This Row],[Clients]],Costing[],MATCH("Current Sales Price",Costing[#Headers],0),0),"")</f>
        <v>150.86000000000001</v>
      </c>
      <c r="J24" s="1"/>
    </row>
    <row r="25" spans="1:10" x14ac:dyDescent="0.2">
      <c r="A25" s="2" t="s">
        <v>22</v>
      </c>
      <c r="B25" s="4" t="s">
        <v>92</v>
      </c>
      <c r="C25" s="4" t="s">
        <v>116</v>
      </c>
      <c r="D25" s="5" t="s">
        <v>95</v>
      </c>
      <c r="E25" s="1" t="s">
        <v>150</v>
      </c>
      <c r="F25" s="19">
        <f>IFERROR(VLOOKUP(Clients[[#This Row],[Clients]],Costing[],MATCH("Total  Cost excl. Software",Costing[#Headers],0),0),"")</f>
        <v>50.334084084084083</v>
      </c>
      <c r="G25" s="19">
        <f>IFERROR(VLOOKUP(Clients[[#This Row],[Clients]],Costing[],MATCH("Current Sales Price",Costing[#Headers],0),0),"")</f>
        <v>200</v>
      </c>
      <c r="J25" s="1"/>
    </row>
    <row r="26" spans="1:10" x14ac:dyDescent="0.2">
      <c r="A26" s="2" t="s">
        <v>21</v>
      </c>
      <c r="B26" s="4" t="s">
        <v>92</v>
      </c>
      <c r="C26" s="4" t="s">
        <v>118</v>
      </c>
      <c r="D26" s="5" t="s">
        <v>101</v>
      </c>
      <c r="E26" s="1"/>
      <c r="F26" s="19">
        <f>IFERROR(VLOOKUP(Clients[[#This Row],[Clients]],Costing[],MATCH("Total  Cost excl. Software",Costing[#Headers],0),0),"")</f>
        <v>111.19494494494495</v>
      </c>
      <c r="G26" s="19">
        <f>IFERROR(VLOOKUP(Clients[[#This Row],[Clients]],Costing[],MATCH("Current Sales Price",Costing[#Headers],0),0),"")</f>
        <v>348</v>
      </c>
      <c r="J26" s="2"/>
    </row>
    <row r="27" spans="1:10" x14ac:dyDescent="0.2">
      <c r="A27" s="2" t="s">
        <v>23</v>
      </c>
      <c r="B27" s="4" t="s">
        <v>91</v>
      </c>
      <c r="C27" s="4" t="s">
        <v>128</v>
      </c>
      <c r="D27" s="4"/>
      <c r="E27" s="1"/>
      <c r="F27" s="19" t="str">
        <f>IFERROR(VLOOKUP(Clients[[#This Row],[Clients]],Costing[],MATCH("Total  Cost excl. Software",Costing[#Headers],0),0),"")</f>
        <v/>
      </c>
      <c r="G27" s="19" t="str">
        <f>IFERROR(VLOOKUP(Clients[[#This Row],[Clients]],Costing[],MATCH("Current Sales Price",Costing[#Headers],0),0),"")</f>
        <v/>
      </c>
      <c r="J27" s="1"/>
    </row>
    <row r="28" spans="1:10" x14ac:dyDescent="0.2">
      <c r="A28" s="2" t="s">
        <v>24</v>
      </c>
      <c r="B28" s="4" t="s">
        <v>92</v>
      </c>
      <c r="C28" s="4" t="s">
        <v>118</v>
      </c>
      <c r="D28" s="5" t="s">
        <v>97</v>
      </c>
      <c r="E28" s="1" t="s">
        <v>150</v>
      </c>
      <c r="F28" s="19">
        <f>IFERROR(VLOOKUP(Clients[[#This Row],[Clients]],Costing[],MATCH("Total  Cost excl. Software",Costing[#Headers],0),0),"")</f>
        <v>155.61311311311312</v>
      </c>
      <c r="G28" s="19">
        <f>IFERROR(VLOOKUP(Clients[[#This Row],[Clients]],Costing[],MATCH("Current Sales Price",Costing[#Headers],0),0),"")</f>
        <v>406.68</v>
      </c>
      <c r="J28" s="1"/>
    </row>
    <row r="29" spans="1:10" x14ac:dyDescent="0.2">
      <c r="A29" s="2" t="s">
        <v>26</v>
      </c>
      <c r="B29" s="4" t="s">
        <v>92</v>
      </c>
      <c r="C29" s="4" t="s">
        <v>119</v>
      </c>
      <c r="D29" s="5" t="s">
        <v>95</v>
      </c>
      <c r="E29" s="1"/>
      <c r="F29" s="19">
        <f>IFERROR(VLOOKUP(Clients[[#This Row],[Clients]],Costing[],MATCH("Total  Cost excl. Software",Costing[#Headers],0),0),"")</f>
        <v>37.791854354354356</v>
      </c>
      <c r="G29" s="19">
        <f>IFERROR(VLOOKUP(Clients[[#This Row],[Clients]],Costing[],MATCH("Current Sales Price",Costing[#Headers],0),0),"")</f>
        <v>77</v>
      </c>
      <c r="J29" s="1"/>
    </row>
    <row r="30" spans="1:10" x14ac:dyDescent="0.2">
      <c r="A30" s="2" t="s">
        <v>27</v>
      </c>
      <c r="B30" s="4" t="s">
        <v>92</v>
      </c>
      <c r="C30" s="4" t="s">
        <v>115</v>
      </c>
      <c r="D30" s="5" t="s">
        <v>104</v>
      </c>
      <c r="E30" s="1" t="s">
        <v>151</v>
      </c>
      <c r="F30" s="19">
        <f>IFERROR(VLOOKUP(Clients[[#This Row],[Clients]],Costing[],MATCH("Total  Cost excl. Software",Costing[#Headers],0),0),"")</f>
        <v>129.05655655655656</v>
      </c>
      <c r="G30" s="19">
        <f>IFERROR(VLOOKUP(Clients[[#This Row],[Clients]],Costing[],MATCH("Current Sales Price",Costing[#Headers],0),0),"")</f>
        <v>721</v>
      </c>
      <c r="J30" s="1"/>
    </row>
    <row r="31" spans="1:10" x14ac:dyDescent="0.2">
      <c r="A31" s="2" t="s">
        <v>28</v>
      </c>
      <c r="B31" s="4" t="s">
        <v>92</v>
      </c>
      <c r="C31" s="4" t="s">
        <v>126</v>
      </c>
      <c r="D31" s="5" t="s">
        <v>103</v>
      </c>
      <c r="E31" s="1" t="s">
        <v>150</v>
      </c>
      <c r="F31" s="19">
        <f>IFERROR(VLOOKUP(Clients[[#This Row],[Clients]],Costing[],MATCH("Total  Cost excl. Software",Costing[#Headers],0),0),"")</f>
        <v>470.72322322322321</v>
      </c>
      <c r="G31" s="19">
        <f>IFERROR(VLOOKUP(Clients[[#This Row],[Clients]],Costing[],MATCH("Current Sales Price",Costing[#Headers],0),0),"")</f>
        <v>2759</v>
      </c>
      <c r="J31" s="1"/>
    </row>
    <row r="32" spans="1:10" x14ac:dyDescent="0.2">
      <c r="A32" s="2" t="s">
        <v>29</v>
      </c>
      <c r="B32" s="4" t="s">
        <v>92</v>
      </c>
      <c r="C32" s="4" t="s">
        <v>117</v>
      </c>
      <c r="D32" s="5" t="s">
        <v>103</v>
      </c>
      <c r="E32" s="1" t="s">
        <v>152</v>
      </c>
      <c r="F32" s="19">
        <f>IFERROR(VLOOKUP(Clients[[#This Row],[Clients]],Costing[],MATCH("Total  Cost excl. Software",Costing[#Headers],0),0),"")</f>
        <v>177.44494494494495</v>
      </c>
      <c r="G32" s="19">
        <f>IFERROR(VLOOKUP(Clients[[#This Row],[Clients]],Costing[],MATCH("Current Sales Price",Costing[#Headers],0),0),"")</f>
        <v>459.77</v>
      </c>
      <c r="J32" s="1"/>
    </row>
    <row r="33" spans="1:10" x14ac:dyDescent="0.2">
      <c r="A33" s="2" t="s">
        <v>30</v>
      </c>
      <c r="B33" s="4" t="s">
        <v>92</v>
      </c>
      <c r="C33" s="4" t="s">
        <v>119</v>
      </c>
      <c r="D33" s="5" t="s">
        <v>105</v>
      </c>
      <c r="E33" s="1" t="s">
        <v>152</v>
      </c>
      <c r="F33" s="19">
        <f>IFERROR(VLOOKUP(Clients[[#This Row],[Clients]],Costing[],MATCH("Total  Cost excl. Software",Costing[#Headers],0),0),"")</f>
        <v>128.27827827827826</v>
      </c>
      <c r="G33" s="19">
        <f>IFERROR(VLOOKUP(Clients[[#This Row],[Clients]],Costing[],MATCH("Current Sales Price",Costing[#Headers],0),0),"")</f>
        <v>370</v>
      </c>
      <c r="J33" s="1"/>
    </row>
    <row r="34" spans="1:10" x14ac:dyDescent="0.2">
      <c r="A34" s="2" t="s">
        <v>25</v>
      </c>
      <c r="B34" s="4" t="s">
        <v>92</v>
      </c>
      <c r="C34" s="4" t="s">
        <v>118</v>
      </c>
      <c r="D34" s="5" t="s">
        <v>97</v>
      </c>
      <c r="E34" s="1"/>
      <c r="F34" s="19">
        <f>IFERROR(VLOOKUP(Clients[[#This Row],[Clients]],Costing[],MATCH("Total  Cost excl. Software",Costing[#Headers],0),0),"")</f>
        <v>21.111111111111111</v>
      </c>
      <c r="G34" s="19">
        <f>IFERROR(VLOOKUP(Clients[[#This Row],[Clients]],Costing[],MATCH("Current Sales Price",Costing[#Headers],0),0),"")</f>
        <v>0</v>
      </c>
      <c r="J34" s="1"/>
    </row>
    <row r="35" spans="1:10" x14ac:dyDescent="0.2">
      <c r="A35" s="2" t="s">
        <v>31</v>
      </c>
      <c r="B35" s="4" t="s">
        <v>92</v>
      </c>
      <c r="C35" s="4" t="s">
        <v>115</v>
      </c>
      <c r="D35" s="5" t="s">
        <v>106</v>
      </c>
      <c r="E35" s="1"/>
      <c r="F35" s="19" t="str">
        <f>IFERROR(VLOOKUP(Clients[[#This Row],[Clients]],Costing[],MATCH("Total  Cost excl. Software",Costing[#Headers],0),0),"")</f>
        <v/>
      </c>
      <c r="G35" s="19" t="str">
        <f>IFERROR(VLOOKUP(Clients[[#This Row],[Clients]],Costing[],MATCH("Current Sales Price",Costing[#Headers],0),0),"")</f>
        <v/>
      </c>
      <c r="J35" s="1"/>
    </row>
    <row r="36" spans="1:10" x14ac:dyDescent="0.2">
      <c r="A36" s="2" t="s">
        <v>32</v>
      </c>
      <c r="B36" s="4" t="s">
        <v>92</v>
      </c>
      <c r="C36" s="4" t="s">
        <v>116</v>
      </c>
      <c r="D36" s="5" t="s">
        <v>105</v>
      </c>
      <c r="E36" s="1"/>
      <c r="F36" s="19">
        <f>IFERROR(VLOOKUP(Clients[[#This Row],[Clients]],Costing[],MATCH("Total  Cost excl. Software",Costing[#Headers],0),0),"")</f>
        <v>93.639889889889886</v>
      </c>
      <c r="G36" s="19">
        <f>IFERROR(VLOOKUP(Clients[[#This Row],[Clients]],Costing[],MATCH("Current Sales Price",Costing[#Headers],0),0),"")</f>
        <v>161.72999999999999</v>
      </c>
      <c r="J36" s="1"/>
    </row>
    <row r="37" spans="1:10" x14ac:dyDescent="0.2">
      <c r="A37" s="2" t="s">
        <v>33</v>
      </c>
      <c r="B37" s="4" t="s">
        <v>92</v>
      </c>
      <c r="C37" s="4" t="s">
        <v>118</v>
      </c>
      <c r="D37" s="5" t="s">
        <v>97</v>
      </c>
      <c r="E37" s="1"/>
      <c r="F37" s="19">
        <f>IFERROR(VLOOKUP(Clients[[#This Row],[Clients]],Costing[],MATCH("Total  Cost excl. Software",Costing[#Headers],0),0),"")</f>
        <v>10.291854354354355</v>
      </c>
      <c r="G37" s="19">
        <f>IFERROR(VLOOKUP(Clients[[#This Row],[Clients]],Costing[],MATCH("Current Sales Price",Costing[#Headers],0),0),"")</f>
        <v>20</v>
      </c>
      <c r="J37" s="1"/>
    </row>
    <row r="38" spans="1:10" x14ac:dyDescent="0.2">
      <c r="A38" s="2" t="s">
        <v>56</v>
      </c>
      <c r="B38" s="4" t="s">
        <v>92</v>
      </c>
      <c r="C38" s="4" t="s">
        <v>118</v>
      </c>
      <c r="D38" s="5" t="s">
        <v>103</v>
      </c>
      <c r="E38" s="1"/>
      <c r="F38" s="19">
        <f>IFERROR(VLOOKUP(Clients[[#This Row],[Clients]],Costing[],MATCH("Total  Cost excl. Software",Costing[#Headers],0),0),"")</f>
        <v>31.611611611611607</v>
      </c>
      <c r="G38" s="19">
        <f>IFERROR(VLOOKUP(Clients[[#This Row],[Clients]],Costing[],MATCH("Current Sales Price",Costing[#Headers],0),0),"")</f>
        <v>60</v>
      </c>
      <c r="J38" s="2"/>
    </row>
    <row r="39" spans="1:10" x14ac:dyDescent="0.2">
      <c r="A39" s="2" t="s">
        <v>34</v>
      </c>
      <c r="B39" s="4" t="s">
        <v>92</v>
      </c>
      <c r="C39" s="4" t="s">
        <v>115</v>
      </c>
      <c r="D39" s="5" t="s">
        <v>104</v>
      </c>
      <c r="E39" s="1"/>
      <c r="F39" s="19">
        <f>IFERROR(VLOOKUP(Clients[[#This Row],[Clients]],Costing[],MATCH("Total  Cost excl. Software",Costing[#Headers],0),0),"")</f>
        <v>1038.2013263263264</v>
      </c>
      <c r="G39" s="19">
        <f>IFERROR(VLOOKUP(Clients[[#This Row],[Clients]],Costing[],MATCH("Current Sales Price",Costing[#Headers],0),0),"")</f>
        <v>2801.75</v>
      </c>
      <c r="J39" s="1"/>
    </row>
    <row r="40" spans="1:10" x14ac:dyDescent="0.2">
      <c r="A40" s="2" t="s">
        <v>35</v>
      </c>
      <c r="B40" s="4" t="s">
        <v>92</v>
      </c>
      <c r="C40" s="4" t="s">
        <v>116</v>
      </c>
      <c r="D40" s="5" t="s">
        <v>102</v>
      </c>
      <c r="E40" s="1" t="s">
        <v>150</v>
      </c>
      <c r="F40" s="19">
        <f>IFERROR(VLOOKUP(Clients[[#This Row],[Clients]],Costing[],MATCH("Total  Cost excl. Software",Costing[#Headers],0),0),"")</f>
        <v>46.417042042042041</v>
      </c>
      <c r="G40" s="19">
        <f>IFERROR(VLOOKUP(Clients[[#This Row],[Clients]],Costing[],MATCH("Current Sales Price",Costing[#Headers],0),0),"")</f>
        <v>110</v>
      </c>
      <c r="J40" s="1"/>
    </row>
    <row r="41" spans="1:10" x14ac:dyDescent="0.2">
      <c r="A41" s="2" t="s">
        <v>36</v>
      </c>
      <c r="B41" s="4" t="s">
        <v>92</v>
      </c>
      <c r="C41" s="4" t="s">
        <v>118</v>
      </c>
      <c r="D41" s="5" t="s">
        <v>97</v>
      </c>
      <c r="E41" s="1"/>
      <c r="F41" s="19">
        <f>IFERROR(VLOOKUP(Clients[[#This Row],[Clients]],Costing[],MATCH("Total  Cost excl. Software",Costing[#Headers],0),0),"")</f>
        <v>108.89014014014013</v>
      </c>
      <c r="G41" s="19">
        <f>IFERROR(VLOOKUP(Clients[[#This Row],[Clients]],Costing[],MATCH("Current Sales Price",Costing[#Headers],0),0),"")</f>
        <v>204.7</v>
      </c>
      <c r="J41" s="1"/>
    </row>
    <row r="42" spans="1:10" x14ac:dyDescent="0.2">
      <c r="A42" s="2" t="s">
        <v>37</v>
      </c>
      <c r="B42" s="4" t="s">
        <v>91</v>
      </c>
      <c r="C42" s="4" t="s">
        <v>128</v>
      </c>
      <c r="D42" s="4"/>
      <c r="E42" s="1"/>
      <c r="F42" s="19" t="str">
        <f>IFERROR(VLOOKUP(Clients[[#This Row],[Clients]],Costing[],MATCH("Total  Cost excl. Software",Costing[#Headers],0),0),"")</f>
        <v/>
      </c>
      <c r="G42" s="19" t="str">
        <f>IFERROR(VLOOKUP(Clients[[#This Row],[Clients]],Costing[],MATCH("Current Sales Price",Costing[#Headers],0),0),"")</f>
        <v/>
      </c>
      <c r="J42" s="1"/>
    </row>
    <row r="43" spans="1:10" x14ac:dyDescent="0.2">
      <c r="A43" s="2" t="s">
        <v>38</v>
      </c>
      <c r="B43" s="4" t="s">
        <v>92</v>
      </c>
      <c r="C43" s="4" t="s">
        <v>115</v>
      </c>
      <c r="D43" s="5" t="s">
        <v>101</v>
      </c>
      <c r="E43" s="1"/>
      <c r="F43" s="19">
        <f>IFERROR(VLOOKUP(Clients[[#This Row],[Clients]],Costing[],MATCH("Total  Cost excl. Software",Costing[#Headers],0),0),"")</f>
        <v>12.465861695028361</v>
      </c>
      <c r="G43" s="19">
        <f>IFERROR(VLOOKUP(Clients[[#This Row],[Clients]],Costing[],MATCH("Current Sales Price",Costing[#Headers],0),0),"")</f>
        <v>0</v>
      </c>
      <c r="J43" s="2"/>
    </row>
    <row r="44" spans="1:10" x14ac:dyDescent="0.2">
      <c r="A44" s="2" t="s">
        <v>39</v>
      </c>
      <c r="B44" s="4" t="s">
        <v>92</v>
      </c>
      <c r="C44" s="4" t="s">
        <v>115</v>
      </c>
      <c r="D44" s="5" t="s">
        <v>95</v>
      </c>
      <c r="E44" s="1"/>
      <c r="F44" s="19">
        <f>IFERROR(VLOOKUP(Clients[[#This Row],[Clients]],Costing[],MATCH("Total  Cost excl. Software",Costing[#Headers],0),0),"")</f>
        <v>115.33358358358358</v>
      </c>
      <c r="G44" s="19">
        <f>IFERROR(VLOOKUP(Clients[[#This Row],[Clients]],Costing[],MATCH("Current Sales Price",Costing[#Headers],0),0),"")</f>
        <v>641.01</v>
      </c>
      <c r="J44" s="1"/>
    </row>
    <row r="45" spans="1:10" x14ac:dyDescent="0.2">
      <c r="A45" s="2" t="s">
        <v>40</v>
      </c>
      <c r="B45" s="4" t="s">
        <v>92</v>
      </c>
      <c r="C45" s="4" t="s">
        <v>117</v>
      </c>
      <c r="D45" s="5" t="s">
        <v>140</v>
      </c>
      <c r="E45" s="1"/>
      <c r="F45" s="19">
        <f>IFERROR(VLOOKUP(Clients[[#This Row],[Clients]],Costing[],MATCH("Total  Cost excl. Software",Costing[#Headers],0),0),"")</f>
        <v>99.111611611611622</v>
      </c>
      <c r="G45" s="19">
        <f>IFERROR(VLOOKUP(Clients[[#This Row],[Clients]],Costing[],MATCH("Current Sales Price",Costing[#Headers],0),0),"")</f>
        <v>250</v>
      </c>
      <c r="J45" s="1"/>
    </row>
    <row r="46" spans="1:10" x14ac:dyDescent="0.2">
      <c r="A46" s="2" t="s">
        <v>41</v>
      </c>
      <c r="B46" s="4" t="s">
        <v>92</v>
      </c>
      <c r="C46" s="4" t="s">
        <v>115</v>
      </c>
      <c r="D46" s="5" t="s">
        <v>103</v>
      </c>
      <c r="E46" s="1"/>
      <c r="F46" s="19">
        <f>IFERROR(VLOOKUP(Clients[[#This Row],[Clients]],Costing[],MATCH("Total  Cost excl. Software",Costing[#Headers],0),0),"")</f>
        <v>37.055805805805804</v>
      </c>
      <c r="G46" s="19">
        <f>IFERROR(VLOOKUP(Clients[[#This Row],[Clients]],Costing[],MATCH("Current Sales Price",Costing[#Headers],0),0),"")</f>
        <v>40</v>
      </c>
      <c r="J46" s="1"/>
    </row>
    <row r="47" spans="1:10" x14ac:dyDescent="0.2">
      <c r="A47" s="2" t="s">
        <v>42</v>
      </c>
      <c r="B47" s="4" t="s">
        <v>92</v>
      </c>
      <c r="C47" s="4" t="s">
        <v>115</v>
      </c>
      <c r="D47" s="5" t="s">
        <v>98</v>
      </c>
      <c r="E47" s="1" t="s">
        <v>150</v>
      </c>
      <c r="F47" s="19">
        <f>IFERROR(VLOOKUP(Clients[[#This Row],[Clients]],Costing[],MATCH("Total  Cost excl. Software",Costing[#Headers],0),0),"")</f>
        <v>93.333958958958959</v>
      </c>
      <c r="G47" s="19">
        <f>IFERROR(VLOOKUP(Clients[[#This Row],[Clients]],Costing[],MATCH("Current Sales Price",Costing[#Headers],0),0),"")</f>
        <v>375</v>
      </c>
      <c r="J47" s="1"/>
    </row>
    <row r="48" spans="1:10" x14ac:dyDescent="0.2">
      <c r="A48" s="2" t="s">
        <v>43</v>
      </c>
      <c r="B48" s="4" t="s">
        <v>91</v>
      </c>
      <c r="C48" s="4" t="s">
        <v>128</v>
      </c>
      <c r="D48" s="5" t="s">
        <v>101</v>
      </c>
      <c r="E48" s="1"/>
      <c r="F48" s="19" t="str">
        <f>IFERROR(VLOOKUP(Clients[[#This Row],[Clients]],Costing[],MATCH("Total  Cost excl. Software",Costing[#Headers],0),0),"")</f>
        <v/>
      </c>
      <c r="G48" s="19" t="str">
        <f>IFERROR(VLOOKUP(Clients[[#This Row],[Clients]],Costing[],MATCH("Current Sales Price",Costing[#Headers],0),0),"")</f>
        <v/>
      </c>
      <c r="J48" s="1"/>
    </row>
    <row r="49" spans="1:10" x14ac:dyDescent="0.2">
      <c r="A49" s="2" t="s">
        <v>44</v>
      </c>
      <c r="B49" s="4" t="s">
        <v>92</v>
      </c>
      <c r="C49" s="4" t="s">
        <v>117</v>
      </c>
      <c r="D49" s="5" t="s">
        <v>107</v>
      </c>
      <c r="E49" s="1"/>
      <c r="F49" s="19">
        <f>IFERROR(VLOOKUP(Clients[[#This Row],[Clients]],Costing[],MATCH("Total  Cost excl. Software",Costing[#Headers],0),0),"")</f>
        <v>53.704120787454123</v>
      </c>
      <c r="G49" s="19">
        <f>IFERROR(VLOOKUP(Clients[[#This Row],[Clients]],Costing[],MATCH("Current Sales Price",Costing[#Headers],0),0),"")</f>
        <v>135</v>
      </c>
      <c r="J49" s="1"/>
    </row>
    <row r="50" spans="1:10" x14ac:dyDescent="0.2">
      <c r="A50" s="2" t="s">
        <v>45</v>
      </c>
      <c r="B50" s="4" t="s">
        <v>92</v>
      </c>
      <c r="C50" s="4" t="s">
        <v>117</v>
      </c>
      <c r="D50" s="5" t="s">
        <v>95</v>
      </c>
      <c r="E50" s="1"/>
      <c r="F50" s="19">
        <f>IFERROR(VLOOKUP(Clients[[#This Row],[Clients]],Costing[],MATCH("Total  Cost excl. Software",Costing[#Headers],0),0),"")</f>
        <v>20.389139139139136</v>
      </c>
      <c r="G50" s="19">
        <f>IFERROR(VLOOKUP(Clients[[#This Row],[Clients]],Costing[],MATCH("Current Sales Price",Costing[#Headers],0),0),"")</f>
        <v>50</v>
      </c>
      <c r="J50" s="1"/>
    </row>
    <row r="51" spans="1:10" x14ac:dyDescent="0.2">
      <c r="A51" s="2" t="s">
        <v>46</v>
      </c>
      <c r="B51" s="4" t="s">
        <v>92</v>
      </c>
      <c r="C51" s="4" t="s">
        <v>117</v>
      </c>
      <c r="D51" s="5" t="s">
        <v>108</v>
      </c>
      <c r="E51" s="1"/>
      <c r="F51" s="19">
        <f>IFERROR(VLOOKUP(Clients[[#This Row],[Clients]],Costing[],MATCH("Total  Cost excl. Software",Costing[#Headers],0),0),"")</f>
        <v>55.778278278278272</v>
      </c>
      <c r="G51" s="19">
        <f>IFERROR(VLOOKUP(Clients[[#This Row],[Clients]],Costing[],MATCH("Current Sales Price",Costing[#Headers],0),0),"")</f>
        <v>100</v>
      </c>
      <c r="J51" s="1"/>
    </row>
    <row r="52" spans="1:10" x14ac:dyDescent="0.2">
      <c r="A52" s="2" t="s">
        <v>47</v>
      </c>
      <c r="B52" s="4" t="s">
        <v>92</v>
      </c>
      <c r="C52" s="4" t="s">
        <v>115</v>
      </c>
      <c r="D52" s="5" t="s">
        <v>103</v>
      </c>
      <c r="E52" s="1" t="s">
        <v>152</v>
      </c>
      <c r="F52" s="19">
        <f>IFERROR(VLOOKUP(Clients[[#This Row],[Clients]],Costing[],MATCH("Total  Cost excl. Software",Costing[#Headers],0),0),"")</f>
        <v>65.555555555555557</v>
      </c>
      <c r="G52" s="19">
        <f>IFERROR(VLOOKUP(Clients[[#This Row],[Clients]],Costing[],MATCH("Current Sales Price",Costing[#Headers],0),0),"")</f>
        <v>525</v>
      </c>
      <c r="J52" s="1"/>
    </row>
    <row r="53" spans="1:10" x14ac:dyDescent="0.2">
      <c r="A53" s="2" t="s">
        <v>48</v>
      </c>
      <c r="B53" s="4" t="s">
        <v>92</v>
      </c>
      <c r="C53" s="4" t="s">
        <v>116</v>
      </c>
      <c r="D53" s="5" t="s">
        <v>109</v>
      </c>
      <c r="E53" s="1"/>
      <c r="F53" s="19">
        <f>IFERROR(VLOOKUP(Clients[[#This Row],[Clients]],Costing[],MATCH("Total  Cost excl. Software",Costing[#Headers],0),0),"")</f>
        <v>15.291854354354355</v>
      </c>
      <c r="G53" s="19">
        <f>IFERROR(VLOOKUP(Clients[[#This Row],[Clients]],Costing[],MATCH("Current Sales Price",Costing[#Headers],0),0),"")</f>
        <v>25</v>
      </c>
      <c r="J53" s="1"/>
    </row>
    <row r="54" spans="1:10" x14ac:dyDescent="0.2">
      <c r="A54" s="2" t="s">
        <v>49</v>
      </c>
      <c r="B54" s="4" t="s">
        <v>91</v>
      </c>
      <c r="C54" s="4" t="s">
        <v>128</v>
      </c>
      <c r="D54" s="5"/>
      <c r="E54" s="1"/>
      <c r="F54" s="19" t="str">
        <f>IFERROR(VLOOKUP(Clients[[#This Row],[Clients]],Costing[],MATCH("Total  Cost excl. Software",Costing[#Headers],0),0),"")</f>
        <v/>
      </c>
      <c r="G54" s="19" t="str">
        <f>IFERROR(VLOOKUP(Clients[[#This Row],[Clients]],Costing[],MATCH("Current Sales Price",Costing[#Headers],0),0),"")</f>
        <v/>
      </c>
      <c r="J54" s="1"/>
    </row>
    <row r="55" spans="1:10" x14ac:dyDescent="0.2">
      <c r="A55" s="2" t="s">
        <v>50</v>
      </c>
      <c r="B55" s="4" t="s">
        <v>92</v>
      </c>
      <c r="C55" s="4" t="s">
        <v>116</v>
      </c>
      <c r="D55" s="5" t="s">
        <v>106</v>
      </c>
      <c r="E55" s="1"/>
      <c r="F55" s="19">
        <f>IFERROR(VLOOKUP(Clients[[#This Row],[Clients]],Costing[],MATCH("Total  Cost excl. Software",Costing[#Headers],0),0),"")</f>
        <v>48.278278278278272</v>
      </c>
      <c r="G55" s="19">
        <f>IFERROR(VLOOKUP(Clients[[#This Row],[Clients]],Costing[],MATCH("Current Sales Price",Costing[#Headers],0),0),"")</f>
        <v>203.5</v>
      </c>
      <c r="J55" s="1"/>
    </row>
    <row r="56" spans="1:10" x14ac:dyDescent="0.2">
      <c r="A56" s="2" t="s">
        <v>282</v>
      </c>
      <c r="B56" s="4" t="s">
        <v>92</v>
      </c>
      <c r="C56" s="4" t="s">
        <v>115</v>
      </c>
      <c r="D56" s="5"/>
      <c r="E56" s="2"/>
      <c r="F56" s="19">
        <f>IFERROR(VLOOKUP(Clients[[#This Row],[Clients]],Costing[],MATCH("Total  Cost excl. Software",Costing[#Headers],0),0),"")</f>
        <v>37.055805805805804</v>
      </c>
      <c r="G56" s="19">
        <f>IFERROR(VLOOKUP(Clients[[#This Row],[Clients]],Costing[],MATCH("Current Sales Price",Costing[#Headers],0),0),"")</f>
        <v>0</v>
      </c>
      <c r="J56" s="1"/>
    </row>
    <row r="57" spans="1:10" x14ac:dyDescent="0.2">
      <c r="A57" s="2" t="s">
        <v>51</v>
      </c>
      <c r="B57" s="4" t="s">
        <v>92</v>
      </c>
      <c r="C57" s="4" t="s">
        <v>117</v>
      </c>
      <c r="D57" s="5" t="s">
        <v>95</v>
      </c>
      <c r="E57" s="1"/>
      <c r="F57" s="19">
        <f>IFERROR(VLOOKUP(Clients[[#This Row],[Clients]],Costing[],MATCH("Total  Cost excl. Software",Costing[#Headers],0),0),"")</f>
        <v>68.995975141808472</v>
      </c>
      <c r="G57" s="19">
        <f>IFERROR(VLOOKUP(Clients[[#This Row],[Clients]],Costing[],MATCH("Current Sales Price",Costing[#Headers],0),0),"")</f>
        <v>143</v>
      </c>
      <c r="J57" s="1"/>
    </row>
    <row r="58" spans="1:10" x14ac:dyDescent="0.2">
      <c r="A58" s="2" t="s">
        <v>52</v>
      </c>
      <c r="B58" s="4" t="s">
        <v>91</v>
      </c>
      <c r="C58" s="4" t="s">
        <v>128</v>
      </c>
      <c r="D58" s="5"/>
      <c r="E58" s="1"/>
      <c r="F58" s="19" t="str">
        <f>IFERROR(VLOOKUP(Clients[[#This Row],[Clients]],Costing[],MATCH("Total  Cost excl. Software",Costing[#Headers],0),0),"")</f>
        <v/>
      </c>
      <c r="G58" s="19" t="str">
        <f>IFERROR(VLOOKUP(Clients[[#This Row],[Clients]],Costing[],MATCH("Current Sales Price",Costing[#Headers],0),0),"")</f>
        <v/>
      </c>
      <c r="J58" s="1"/>
    </row>
    <row r="59" spans="1:10" x14ac:dyDescent="0.2">
      <c r="A59" s="2" t="s">
        <v>53</v>
      </c>
      <c r="B59" s="4" t="s">
        <v>91</v>
      </c>
      <c r="C59" s="4" t="s">
        <v>128</v>
      </c>
      <c r="D59" s="4"/>
      <c r="E59" s="1"/>
      <c r="F59" s="19" t="str">
        <f>IFERROR(VLOOKUP(Clients[[#This Row],[Clients]],Costing[],MATCH("Total  Cost excl. Software",Costing[#Headers],0),0),"")</f>
        <v/>
      </c>
      <c r="G59" s="19" t="str">
        <f>IFERROR(VLOOKUP(Clients[[#This Row],[Clients]],Costing[],MATCH("Current Sales Price",Costing[#Headers],0),0),"")</f>
        <v/>
      </c>
      <c r="J59" s="1"/>
    </row>
    <row r="60" spans="1:10" x14ac:dyDescent="0.2">
      <c r="A60" s="2" t="s">
        <v>54</v>
      </c>
      <c r="B60" s="4" t="s">
        <v>92</v>
      </c>
      <c r="C60" s="4" t="s">
        <v>117</v>
      </c>
      <c r="D60" s="5" t="s">
        <v>97</v>
      </c>
      <c r="E60" s="1"/>
      <c r="F60" s="19">
        <f>IFERROR(VLOOKUP(Clients[[#This Row],[Clients]],Costing[],MATCH("Total  Cost excl. Software",Costing[#Headers],0),0),"")</f>
        <v>117.81352185518851</v>
      </c>
      <c r="G60" s="19">
        <f>IFERROR(VLOOKUP(Clients[[#This Row],[Clients]],Costing[],MATCH("Current Sales Price",Costing[#Headers],0),0),"")</f>
        <v>372.67</v>
      </c>
      <c r="J60" s="1"/>
    </row>
    <row r="61" spans="1:10" x14ac:dyDescent="0.2">
      <c r="A61" s="2" t="s">
        <v>276</v>
      </c>
      <c r="B61" s="4" t="s">
        <v>92</v>
      </c>
      <c r="C61" s="4" t="s">
        <v>116</v>
      </c>
      <c r="D61" s="5" t="s">
        <v>97</v>
      </c>
      <c r="E61" s="1"/>
      <c r="F61" s="19">
        <f>IFERROR(VLOOKUP(Clients[[#This Row],[Clients]],Costing[],MATCH("Total  Cost excl. Software",Costing[#Headers],0),0),"")</f>
        <v>152.75554721388053</v>
      </c>
      <c r="G61" s="19">
        <f>IFERROR(VLOOKUP(Clients[[#This Row],[Clients]],Costing[],MATCH("Current Sales Price",Costing[#Headers],0),0),"")</f>
        <v>139.19999999999999</v>
      </c>
      <c r="J61" s="1"/>
    </row>
    <row r="62" spans="1:10" x14ac:dyDescent="0.2">
      <c r="A62" s="2" t="s">
        <v>55</v>
      </c>
      <c r="B62" s="4" t="s">
        <v>92</v>
      </c>
      <c r="C62" s="4" t="s">
        <v>115</v>
      </c>
      <c r="D62" s="5" t="s">
        <v>110</v>
      </c>
      <c r="E62" s="1"/>
      <c r="F62" s="19">
        <f>IFERROR(VLOOKUP(Clients[[#This Row],[Clients]],Costing[],MATCH("Total  Cost excl. Software",Costing[#Headers],0),0),"")</f>
        <v>40.389139139139132</v>
      </c>
      <c r="G62" s="19">
        <f>IFERROR(VLOOKUP(Clients[[#This Row],[Clients]],Costing[],MATCH("Current Sales Price",Costing[#Headers],0),0),"")</f>
        <v>70</v>
      </c>
      <c r="J62" s="1"/>
    </row>
    <row r="63" spans="1:10" x14ac:dyDescent="0.2">
      <c r="A63" s="2" t="s">
        <v>57</v>
      </c>
      <c r="B63" s="4" t="s">
        <v>92</v>
      </c>
      <c r="C63" s="4" t="s">
        <v>117</v>
      </c>
      <c r="D63" s="5" t="s">
        <v>111</v>
      </c>
      <c r="E63" s="1"/>
      <c r="F63" s="19">
        <f>IFERROR(VLOOKUP(Clients[[#This Row],[Clients]],Costing[],MATCH("Total  Cost excl. Software",Costing[#Headers],0),0),"")</f>
        <v>577.88913913913905</v>
      </c>
      <c r="G63" s="19">
        <f>IFERROR(VLOOKUP(Clients[[#This Row],[Clients]],Costing[],MATCH("Current Sales Price",Costing[#Headers],0),0),"")</f>
        <v>1186.25</v>
      </c>
      <c r="J63" s="1"/>
    </row>
    <row r="64" spans="1:10" x14ac:dyDescent="0.2">
      <c r="A64" s="2" t="s">
        <v>58</v>
      </c>
      <c r="B64" s="4" t="s">
        <v>92</v>
      </c>
      <c r="C64" s="4" t="s">
        <v>117</v>
      </c>
      <c r="D64" s="5" t="s">
        <v>103</v>
      </c>
      <c r="E64" s="1" t="s">
        <v>150</v>
      </c>
      <c r="F64" s="19">
        <f>IFERROR(VLOOKUP(Clients[[#This Row],[Clients]],Costing[],MATCH("Total  Cost excl. Software",Costing[#Headers],0),0),"")</f>
        <v>121.3025108441775</v>
      </c>
      <c r="G64" s="19">
        <f>IFERROR(VLOOKUP(Clients[[#This Row],[Clients]],Costing[],MATCH("Current Sales Price",Costing[#Headers],0),0),"")</f>
        <v>204.58</v>
      </c>
      <c r="J64" s="1"/>
    </row>
    <row r="65" spans="1:10" x14ac:dyDescent="0.2">
      <c r="A65" s="2" t="s">
        <v>59</v>
      </c>
      <c r="B65" s="4" t="s">
        <v>91</v>
      </c>
      <c r="C65" s="4" t="s">
        <v>128</v>
      </c>
      <c r="D65" s="4"/>
      <c r="E65" s="1"/>
      <c r="F65" s="19" t="str">
        <f>IFERROR(VLOOKUP(Clients[[#This Row],[Clients]],Costing[],MATCH("Total  Cost excl. Software",Costing[#Headers],0),0),"")</f>
        <v/>
      </c>
      <c r="G65" s="19" t="str">
        <f>IFERROR(VLOOKUP(Clients[[#This Row],[Clients]],Costing[],MATCH("Current Sales Price",Costing[#Headers],0),0),"")</f>
        <v/>
      </c>
      <c r="J65" s="1"/>
    </row>
    <row r="66" spans="1:10" x14ac:dyDescent="0.2">
      <c r="A66" s="2" t="s">
        <v>60</v>
      </c>
      <c r="B66" s="4" t="s">
        <v>92</v>
      </c>
      <c r="C66" s="4" t="s">
        <v>115</v>
      </c>
      <c r="D66" s="5" t="s">
        <v>141</v>
      </c>
      <c r="E66" s="1"/>
      <c r="F66" s="19">
        <f>IFERROR(VLOOKUP(Clients[[#This Row],[Clients]],Costing[],MATCH("Total  Cost excl. Software",Costing[#Headers],0),0),"")</f>
        <v>98.087754421087737</v>
      </c>
      <c r="G66" s="19">
        <f>IFERROR(VLOOKUP(Clients[[#This Row],[Clients]],Costing[],MATCH("Current Sales Price",Costing[#Headers],0),0),"")</f>
        <v>387.27</v>
      </c>
      <c r="J66" s="1"/>
    </row>
    <row r="67" spans="1:10" x14ac:dyDescent="0.2">
      <c r="A67" s="2" t="s">
        <v>274</v>
      </c>
      <c r="B67" s="4" t="s">
        <v>92</v>
      </c>
      <c r="C67" s="4" t="s">
        <v>118</v>
      </c>
      <c r="D67" s="5" t="s">
        <v>95</v>
      </c>
      <c r="E67" s="1" t="s">
        <v>150</v>
      </c>
      <c r="F67" s="19">
        <f>IFERROR(VLOOKUP(Clients[[#This Row],[Clients]],Costing[],MATCH("Total  Cost excl. Software",Costing[#Headers],0),0),"")</f>
        <v>93.519352686019346</v>
      </c>
      <c r="G67" s="19">
        <f>IFERROR(VLOOKUP(Clients[[#This Row],[Clients]],Costing[],MATCH("Current Sales Price",Costing[#Headers],0),0),"")</f>
        <v>228.29</v>
      </c>
      <c r="J67" s="1"/>
    </row>
    <row r="68" spans="1:10" x14ac:dyDescent="0.2">
      <c r="A68" s="2" t="s">
        <v>61</v>
      </c>
      <c r="B68" s="4" t="s">
        <v>92</v>
      </c>
      <c r="C68" s="4" t="s">
        <v>118</v>
      </c>
      <c r="D68" s="5" t="s">
        <v>142</v>
      </c>
      <c r="E68" s="1" t="s">
        <v>150</v>
      </c>
      <c r="F68" s="19">
        <f>IFERROR(VLOOKUP(Clients[[#This Row],[Clients]],Costing[],MATCH("Total  Cost excl. Software",Costing[#Headers],0),0),"")</f>
        <v>82.44494494494495</v>
      </c>
      <c r="G68" s="19">
        <f>IFERROR(VLOOKUP(Clients[[#This Row],[Clients]],Costing[],MATCH("Current Sales Price",Costing[#Headers],0),0),"")</f>
        <v>122.73</v>
      </c>
      <c r="J68" s="1"/>
    </row>
    <row r="69" spans="1:10" x14ac:dyDescent="0.2">
      <c r="A69" s="2" t="s">
        <v>62</v>
      </c>
      <c r="B69" s="4" t="s">
        <v>92</v>
      </c>
      <c r="C69" s="4" t="s">
        <v>117</v>
      </c>
      <c r="D69" s="5" t="s">
        <v>95</v>
      </c>
      <c r="E69" s="1"/>
      <c r="F69" s="19">
        <f>IFERROR(VLOOKUP(Clients[[#This Row],[Clients]],Costing[],MATCH("Total  Cost excl. Software",Costing[#Headers],0),0),"")</f>
        <v>74.190544711378038</v>
      </c>
      <c r="G69" s="19">
        <f>IFERROR(VLOOKUP(Clients[[#This Row],[Clients]],Costing[],MATCH("Current Sales Price",Costing[#Headers],0),0),"")</f>
        <v>125</v>
      </c>
      <c r="J69" s="1"/>
    </row>
    <row r="70" spans="1:10" x14ac:dyDescent="0.2">
      <c r="A70" s="2" t="s">
        <v>63</v>
      </c>
      <c r="B70" s="4" t="s">
        <v>91</v>
      </c>
      <c r="C70" s="4" t="s">
        <v>128</v>
      </c>
      <c r="D70" s="4"/>
      <c r="E70" s="1"/>
      <c r="F70" s="19" t="str">
        <f>IFERROR(VLOOKUP(Clients[[#This Row],[Clients]],Costing[],MATCH("Total  Cost excl. Software",Costing[#Headers],0),0),"")</f>
        <v/>
      </c>
      <c r="G70" s="19" t="str">
        <f>IFERROR(VLOOKUP(Clients[[#This Row],[Clients]],Costing[],MATCH("Current Sales Price",Costing[#Headers],0),0),"")</f>
        <v/>
      </c>
      <c r="J70" s="1"/>
    </row>
    <row r="71" spans="1:10" x14ac:dyDescent="0.2">
      <c r="A71" s="2" t="s">
        <v>64</v>
      </c>
      <c r="B71" s="4" t="s">
        <v>92</v>
      </c>
      <c r="C71" s="4" t="s">
        <v>118</v>
      </c>
      <c r="D71" s="5" t="s">
        <v>96</v>
      </c>
      <c r="E71" s="1" t="s">
        <v>150</v>
      </c>
      <c r="F71" s="19">
        <f>IFERROR(VLOOKUP(Clients[[#This Row],[Clients]],Costing[],MATCH("Total  Cost excl. Software",Costing[#Headers],0),0),"")</f>
        <v>111.64956623289956</v>
      </c>
      <c r="G71" s="19">
        <f>IFERROR(VLOOKUP(Clients[[#This Row],[Clients]],Costing[],MATCH("Current Sales Price",Costing[#Headers],0),0),"")</f>
        <v>249.66</v>
      </c>
      <c r="J71" s="1"/>
    </row>
    <row r="72" spans="1:10" x14ac:dyDescent="0.2">
      <c r="A72" s="2" t="s">
        <v>65</v>
      </c>
      <c r="B72" s="4" t="s">
        <v>92</v>
      </c>
      <c r="C72" s="4" t="s">
        <v>117</v>
      </c>
      <c r="D72" s="5" t="s">
        <v>95</v>
      </c>
      <c r="E72" s="1"/>
      <c r="F72" s="19">
        <f>IFERROR(VLOOKUP(Clients[[#This Row],[Clients]],Costing[],MATCH("Total  Cost excl. Software",Costing[#Headers],0),0),"")</f>
        <v>37.889139139139139</v>
      </c>
      <c r="G72" s="19">
        <f>IFERROR(VLOOKUP(Clients[[#This Row],[Clients]],Costing[],MATCH("Current Sales Price",Costing[#Headers],0),0),"")</f>
        <v>72.72</v>
      </c>
      <c r="J72" s="1"/>
    </row>
    <row r="73" spans="1:10" x14ac:dyDescent="0.2">
      <c r="A73" s="2" t="s">
        <v>67</v>
      </c>
      <c r="B73" s="4" t="s">
        <v>92</v>
      </c>
      <c r="C73" s="4" t="s">
        <v>116</v>
      </c>
      <c r="D73" s="5" t="s">
        <v>99</v>
      </c>
      <c r="E73" s="1"/>
      <c r="F73" s="19">
        <f>IFERROR(VLOOKUP(Clients[[#This Row],[Clients]],Costing[],MATCH("Total  Cost excl. Software",Costing[#Headers],0),0),"")</f>
        <v>147.38988988988987</v>
      </c>
      <c r="G73" s="19">
        <f>IFERROR(VLOOKUP(Clients[[#This Row],[Clients]],Costing[],MATCH("Current Sales Price",Costing[#Headers],0),0),"")</f>
        <v>377.54</v>
      </c>
      <c r="J73" s="1"/>
    </row>
    <row r="74" spans="1:10" x14ac:dyDescent="0.2">
      <c r="A74" s="2" t="s">
        <v>66</v>
      </c>
      <c r="B74" s="4" t="s">
        <v>92</v>
      </c>
      <c r="C74" s="4" t="s">
        <v>116</v>
      </c>
      <c r="D74" s="5" t="s">
        <v>99</v>
      </c>
      <c r="E74" s="2" t="s">
        <v>150</v>
      </c>
      <c r="F74" s="19">
        <f>IFERROR(VLOOKUP(Clients[[#This Row],[Clients]],Costing[],MATCH("Total  Cost excl. Software",Costing[#Headers],0),0),"")</f>
        <v>64.833583583583575</v>
      </c>
      <c r="G74" s="19">
        <f>IFERROR(VLOOKUP(Clients[[#This Row],[Clients]],Costing[],MATCH("Current Sales Price",Costing[#Headers],0),0),"")</f>
        <v>200</v>
      </c>
      <c r="J74" s="1"/>
    </row>
    <row r="75" spans="1:10" x14ac:dyDescent="0.2">
      <c r="A75" s="2" t="s">
        <v>68</v>
      </c>
      <c r="B75" s="4" t="s">
        <v>92</v>
      </c>
      <c r="C75" s="4" t="s">
        <v>117</v>
      </c>
      <c r="D75" s="5" t="s">
        <v>103</v>
      </c>
      <c r="E75" s="1"/>
      <c r="F75" s="19">
        <f>IFERROR(VLOOKUP(Clients[[#This Row],[Clients]],Costing[],MATCH("Total  Cost excl. Software",Costing[#Headers],0),0),"")</f>
        <v>123.29884050717382</v>
      </c>
      <c r="G75" s="19">
        <f>IFERROR(VLOOKUP(Clients[[#This Row],[Clients]],Costing[],MATCH("Current Sales Price",Costing[#Headers],0),0),"")</f>
        <v>186</v>
      </c>
      <c r="J75" s="1"/>
    </row>
    <row r="76" spans="1:10" x14ac:dyDescent="0.2">
      <c r="A76" s="2" t="s">
        <v>69</v>
      </c>
      <c r="B76" s="4" t="s">
        <v>92</v>
      </c>
      <c r="C76" s="4" t="s">
        <v>117</v>
      </c>
      <c r="D76" s="5" t="s">
        <v>112</v>
      </c>
      <c r="E76" s="1"/>
      <c r="F76" s="19">
        <f>IFERROR(VLOOKUP(Clients[[#This Row],[Clients]],Costing[],MATCH("Total  Cost excl. Software",Costing[#Headers],0),0),"")</f>
        <v>627.87078745412077</v>
      </c>
      <c r="G76" s="19">
        <f>IFERROR(VLOOKUP(Clients[[#This Row],[Clients]],Costing[],MATCH("Current Sales Price",Costing[#Headers],0),0),"")</f>
        <v>1626.25</v>
      </c>
      <c r="J76" s="1"/>
    </row>
    <row r="77" spans="1:10" x14ac:dyDescent="0.2">
      <c r="A77" s="2" t="s">
        <v>70</v>
      </c>
      <c r="B77" s="4" t="s">
        <v>92</v>
      </c>
      <c r="C77" s="4" t="s">
        <v>117</v>
      </c>
      <c r="D77" s="5" t="s">
        <v>98</v>
      </c>
      <c r="E77" s="1"/>
      <c r="F77" s="19">
        <f>IFERROR(VLOOKUP(Clients[[#This Row],[Clients]],Costing[],MATCH("Total  Cost excl. Software",Costing[#Headers],0),0),"")</f>
        <v>246.00037537537537</v>
      </c>
      <c r="G77" s="19">
        <f>IFERROR(VLOOKUP(Clients[[#This Row],[Clients]],Costing[],MATCH("Current Sales Price",Costing[#Headers],0),0),"")</f>
        <v>0</v>
      </c>
      <c r="J77" s="1"/>
    </row>
    <row r="78" spans="1:10" x14ac:dyDescent="0.2">
      <c r="A78" s="2" t="s">
        <v>71</v>
      </c>
      <c r="B78" s="4" t="s">
        <v>92</v>
      </c>
      <c r="C78" s="4" t="s">
        <v>117</v>
      </c>
      <c r="D78" s="5" t="s">
        <v>101</v>
      </c>
      <c r="E78" s="1"/>
      <c r="F78" s="19">
        <f>IFERROR(VLOOKUP(Clients[[#This Row],[Clients]],Costing[],MATCH("Total  Cost excl. Software",Costing[#Headers],0),0),"")</f>
        <v>374.86236236236232</v>
      </c>
      <c r="G78" s="19">
        <f>IFERROR(VLOOKUP(Clients[[#This Row],[Clients]],Costing[],MATCH("Current Sales Price",Costing[#Headers],0),0),"")</f>
        <v>1985</v>
      </c>
      <c r="J78" s="1"/>
    </row>
    <row r="79" spans="1:10" x14ac:dyDescent="0.2">
      <c r="A79" s="2" t="s">
        <v>72</v>
      </c>
      <c r="B79" s="4" t="s">
        <v>92</v>
      </c>
      <c r="C79" s="4" t="s">
        <v>117</v>
      </c>
      <c r="D79" s="5" t="s">
        <v>101</v>
      </c>
      <c r="E79" s="1"/>
      <c r="F79" s="19">
        <f>IFERROR(VLOOKUP(Clients[[#This Row],[Clients]],Costing[],MATCH("Total  Cost excl. Software",Costing[#Headers],0),0),"")</f>
        <v>29.361236236236238</v>
      </c>
      <c r="G79" s="19">
        <f>IFERROR(VLOOKUP(Clients[[#This Row],[Clients]],Costing[],MATCH("Current Sales Price",Costing[#Headers],0),0),"")</f>
        <v>0</v>
      </c>
      <c r="J79" s="1"/>
    </row>
    <row r="80" spans="1:10" x14ac:dyDescent="0.2">
      <c r="A80" s="2" t="s">
        <v>73</v>
      </c>
      <c r="B80" s="4" t="s">
        <v>92</v>
      </c>
      <c r="C80" s="4" t="s">
        <v>116</v>
      </c>
      <c r="D80" s="5" t="s">
        <v>142</v>
      </c>
      <c r="E80" s="1" t="s">
        <v>150</v>
      </c>
      <c r="F80" s="19">
        <f>IFERROR(VLOOKUP(Clients[[#This Row],[Clients]],Costing[],MATCH("Total  Cost excl. Software",Costing[#Headers],0),0),"")</f>
        <v>89.908241574908246</v>
      </c>
      <c r="G80" s="19">
        <f>IFERROR(VLOOKUP(Clients[[#This Row],[Clients]],Costing[],MATCH("Current Sales Price",Costing[#Headers],0),0),"")</f>
        <v>118.8</v>
      </c>
      <c r="J80" s="1"/>
    </row>
    <row r="81" spans="1:10" x14ac:dyDescent="0.2">
      <c r="A81" s="2" t="s">
        <v>74</v>
      </c>
      <c r="B81" s="4" t="s">
        <v>92</v>
      </c>
      <c r="C81" s="4" t="s">
        <v>115</v>
      </c>
      <c r="D81" s="5" t="s">
        <v>102</v>
      </c>
      <c r="E81" s="1" t="s">
        <v>151</v>
      </c>
      <c r="F81" s="19">
        <f>IFERROR(VLOOKUP(Clients[[#This Row],[Clients]],Costing[],MATCH("Total  Cost excl. Software",Costing[#Headers],0),0),"")</f>
        <v>78.426343009676344</v>
      </c>
      <c r="G81" s="19">
        <f>IFERROR(VLOOKUP(Clients[[#This Row],[Clients]],Costing[],MATCH("Current Sales Price",Costing[#Headers],0),0),"")</f>
        <v>200</v>
      </c>
      <c r="J81" s="1"/>
    </row>
    <row r="82" spans="1:10" x14ac:dyDescent="0.2">
      <c r="A82" s="2" t="s">
        <v>75</v>
      </c>
      <c r="B82" s="4" t="s">
        <v>92</v>
      </c>
      <c r="C82" s="4" t="s">
        <v>117</v>
      </c>
      <c r="D82" s="5" t="s">
        <v>113</v>
      </c>
      <c r="E82" s="1"/>
      <c r="F82" s="19">
        <f>IFERROR(VLOOKUP(Clients[[#This Row],[Clients]],Costing[],MATCH("Total  Cost excl. Software",Costing[#Headers],0),0),"")</f>
        <v>14.574157490824156</v>
      </c>
      <c r="G82" s="19">
        <f>IFERROR(VLOOKUP(Clients[[#This Row],[Clients]],Costing[],MATCH("Current Sales Price",Costing[#Headers],0),0),"")</f>
        <v>55</v>
      </c>
      <c r="J82" s="1"/>
    </row>
    <row r="83" spans="1:10" x14ac:dyDescent="0.2">
      <c r="A83" s="2" t="s">
        <v>76</v>
      </c>
      <c r="B83" s="4" t="s">
        <v>91</v>
      </c>
      <c r="C83" s="4" t="s">
        <v>128</v>
      </c>
      <c r="D83" s="4"/>
      <c r="E83" s="1"/>
      <c r="F83" s="19" t="str">
        <f>IFERROR(VLOOKUP(Clients[[#This Row],[Clients]],Costing[],MATCH("Total  Cost excl. Software",Costing[#Headers],0),0),"")</f>
        <v/>
      </c>
      <c r="G83" s="19" t="str">
        <f>IFERROR(VLOOKUP(Clients[[#This Row],[Clients]],Costing[],MATCH("Current Sales Price",Costing[#Headers],0),0),"")</f>
        <v/>
      </c>
      <c r="J83" s="1"/>
    </row>
    <row r="84" spans="1:10" x14ac:dyDescent="0.2">
      <c r="A84" s="2" t="s">
        <v>278</v>
      </c>
      <c r="B84" s="4" t="s">
        <v>91</v>
      </c>
      <c r="C84" s="4" t="s">
        <v>128</v>
      </c>
      <c r="D84" s="5"/>
      <c r="E84" s="1"/>
      <c r="F84" s="19" t="str">
        <f>IFERROR(VLOOKUP(Clients[[#This Row],[Clients]],Costing[],MATCH("Total  Cost excl. Software",Costing[#Headers],0),0),"")</f>
        <v/>
      </c>
      <c r="G84" s="19" t="str">
        <f>IFERROR(VLOOKUP(Clients[[#This Row],[Clients]],Costing[],MATCH("Current Sales Price",Costing[#Headers],0),0),"")</f>
        <v/>
      </c>
      <c r="J84" s="1"/>
    </row>
    <row r="85" spans="1:10" x14ac:dyDescent="0.2">
      <c r="A85" s="2" t="s">
        <v>77</v>
      </c>
      <c r="B85" s="4" t="s">
        <v>92</v>
      </c>
      <c r="C85" s="4" t="s">
        <v>117</v>
      </c>
      <c r="D85" s="5" t="s">
        <v>101</v>
      </c>
      <c r="E85" s="1" t="s">
        <v>151</v>
      </c>
      <c r="F85" s="19">
        <f>IFERROR(VLOOKUP(Clients[[#This Row],[Clients]],Costing[],MATCH("Total  Cost excl. Software",Costing[#Headers],0),0),"")</f>
        <v>777.36611611611602</v>
      </c>
      <c r="G85" s="19">
        <f>IFERROR(VLOOKUP(Clients[[#This Row],[Clients]],Costing[],MATCH("Current Sales Price",Costing[#Headers],0),0),"")</f>
        <v>1182</v>
      </c>
    </row>
    <row r="86" spans="1:10" x14ac:dyDescent="0.2">
      <c r="A86" s="2" t="s">
        <v>78</v>
      </c>
      <c r="B86" s="4" t="s">
        <v>92</v>
      </c>
      <c r="C86" s="4" t="s">
        <v>116</v>
      </c>
      <c r="D86" s="5" t="s">
        <v>103</v>
      </c>
      <c r="E86" s="1" t="s">
        <v>150</v>
      </c>
      <c r="F86" s="19">
        <f>IFERROR(VLOOKUP(Clients[[#This Row],[Clients]],Costing[],MATCH("Total  Cost excl. Software",Costing[#Headers],0),0),"")</f>
        <v>48.166916916916925</v>
      </c>
      <c r="G86" s="19">
        <f>IFERROR(VLOOKUP(Clients[[#This Row],[Clients]],Costing[],MATCH("Current Sales Price",Costing[#Headers],0),0),"")</f>
        <v>63.64</v>
      </c>
    </row>
    <row r="87" spans="1:10" x14ac:dyDescent="0.2">
      <c r="A87" s="2" t="s">
        <v>79</v>
      </c>
      <c r="B87" s="4" t="s">
        <v>92</v>
      </c>
      <c r="C87" s="4" t="s">
        <v>118</v>
      </c>
      <c r="D87" s="5" t="s">
        <v>103</v>
      </c>
      <c r="E87" s="1" t="s">
        <v>150</v>
      </c>
      <c r="F87" s="19">
        <f>IFERROR(VLOOKUP(Clients[[#This Row],[Clients]],Costing[],MATCH("Total  Cost excl. Software",Costing[#Headers],0),0),"")</f>
        <v>67.639514514514516</v>
      </c>
      <c r="G87" s="19">
        <f>IFERROR(VLOOKUP(Clients[[#This Row],[Clients]],Costing[],MATCH("Current Sales Price",Costing[#Headers],0),0),"")</f>
        <v>115</v>
      </c>
    </row>
    <row r="88" spans="1:10" x14ac:dyDescent="0.2">
      <c r="A88" s="2" t="s">
        <v>80</v>
      </c>
      <c r="B88" s="4" t="s">
        <v>91</v>
      </c>
      <c r="C88" s="4" t="s">
        <v>128</v>
      </c>
      <c r="D88" s="5"/>
      <c r="E88" s="1"/>
      <c r="F88" s="19" t="str">
        <f>IFERROR(VLOOKUP(Clients[[#This Row],[Clients]],Costing[],MATCH("Total  Cost excl. Software",Costing[#Headers],0),0),"")</f>
        <v/>
      </c>
      <c r="G88" s="19" t="str">
        <f>IFERROR(VLOOKUP(Clients[[#This Row],[Clients]],Costing[],MATCH("Current Sales Price",Costing[#Headers],0),0),"")</f>
        <v/>
      </c>
    </row>
    <row r="89" spans="1:10" x14ac:dyDescent="0.2">
      <c r="A89" s="2" t="s">
        <v>83</v>
      </c>
      <c r="B89" s="4" t="s">
        <v>92</v>
      </c>
      <c r="C89" s="4" t="s">
        <v>116</v>
      </c>
      <c r="D89" s="5" t="s">
        <v>95</v>
      </c>
      <c r="E89" s="1"/>
      <c r="F89" s="19">
        <f>IFERROR(VLOOKUP(Clients[[#This Row],[Clients]],Costing[],MATCH("Total  Cost excl. Software",Costing[#Headers],0),0),"")</f>
        <v>37.889139139139139</v>
      </c>
      <c r="G89" s="19">
        <f>IFERROR(VLOOKUP(Clients[[#This Row],[Clients]],Costing[],MATCH("Current Sales Price",Costing[#Headers],0),0),"")</f>
        <v>90</v>
      </c>
    </row>
    <row r="90" spans="1:10" x14ac:dyDescent="0.2">
      <c r="A90" s="2" t="s">
        <v>81</v>
      </c>
      <c r="B90" s="4" t="s">
        <v>92</v>
      </c>
      <c r="C90" s="4" t="s">
        <v>115</v>
      </c>
      <c r="D90" s="5" t="s">
        <v>103</v>
      </c>
      <c r="E90" s="1" t="s">
        <v>150</v>
      </c>
      <c r="F90" s="19">
        <f>IFERROR(VLOOKUP(Clients[[#This Row],[Clients]],Costing[],MATCH("Total  Cost excl. Software",Costing[#Headers],0),0),"")</f>
        <v>67.153090590590594</v>
      </c>
      <c r="G90" s="19">
        <f>IFERROR(VLOOKUP(Clients[[#This Row],[Clients]],Costing[],MATCH("Current Sales Price",Costing[#Headers],0),0),"")</f>
        <v>136.5</v>
      </c>
    </row>
    <row r="91" spans="1:10" x14ac:dyDescent="0.2">
      <c r="A91" s="2" t="s">
        <v>82</v>
      </c>
      <c r="B91" s="4" t="s">
        <v>92</v>
      </c>
      <c r="C91" s="4" t="s">
        <v>118</v>
      </c>
      <c r="D91" s="5" t="s">
        <v>95</v>
      </c>
      <c r="E91" s="1"/>
      <c r="F91" s="19">
        <f>IFERROR(VLOOKUP(Clients[[#This Row],[Clients]],Costing[],MATCH("Total  Cost excl. Software",Costing[#Headers],0),0),"")</f>
        <v>40.389139139139139</v>
      </c>
      <c r="G91" s="19">
        <f>IFERROR(VLOOKUP(Clients[[#This Row],[Clients]],Costing[],MATCH("Current Sales Price",Costing[#Headers],0),0),"")</f>
        <v>129</v>
      </c>
    </row>
    <row r="92" spans="1:10" x14ac:dyDescent="0.2">
      <c r="A92" s="2" t="s">
        <v>280</v>
      </c>
      <c r="B92" s="4" t="s">
        <v>92</v>
      </c>
      <c r="C92" s="4" t="s">
        <v>118</v>
      </c>
      <c r="D92" s="5" t="s">
        <v>101</v>
      </c>
      <c r="E92" s="1"/>
      <c r="F92" s="19">
        <f>IFERROR(VLOOKUP(Clients[[#This Row],[Clients]],Costing[],MATCH("Total  Cost excl. Software",Costing[#Headers],0),0),"")</f>
        <v>176.44644644644646</v>
      </c>
      <c r="G92" s="19">
        <f>IFERROR(VLOOKUP(Clients[[#This Row],[Clients]],Costing[],MATCH("Current Sales Price",Costing[#Headers],0),0),"")</f>
        <v>637.5</v>
      </c>
    </row>
    <row r="93" spans="1:10" x14ac:dyDescent="0.2">
      <c r="A93" s="2" t="s">
        <v>84</v>
      </c>
      <c r="B93" s="4" t="s">
        <v>92</v>
      </c>
      <c r="C93" s="4" t="s">
        <v>117</v>
      </c>
      <c r="D93" s="5" t="s">
        <v>97</v>
      </c>
      <c r="E93" s="1"/>
      <c r="F93" s="19">
        <f>IFERROR(VLOOKUP(Clients[[#This Row],[Clients]],Costing[],MATCH("Total  Cost excl. Software",Costing[#Headers],0),0),"")</f>
        <v>170.78048882215549</v>
      </c>
      <c r="G93" s="19">
        <f>IFERROR(VLOOKUP(Clients[[#This Row],[Clients]],Costing[],MATCH("Current Sales Price",Costing[#Headers],0),0),"")</f>
        <v>593.75</v>
      </c>
    </row>
    <row r="94" spans="1:10" x14ac:dyDescent="0.2">
      <c r="A94" s="2" t="s">
        <v>85</v>
      </c>
      <c r="B94" s="4" t="s">
        <v>92</v>
      </c>
      <c r="C94" s="4" t="s">
        <v>117</v>
      </c>
      <c r="D94" s="5" t="s">
        <v>103</v>
      </c>
      <c r="E94" s="1" t="s">
        <v>152</v>
      </c>
      <c r="F94" s="19">
        <f>IFERROR(VLOOKUP(Clients[[#This Row],[Clients]],Costing[],MATCH("Total  Cost excl. Software",Costing[#Headers],0),0),"")</f>
        <v>294.67696863530199</v>
      </c>
      <c r="G94" s="19">
        <f>IFERROR(VLOOKUP(Clients[[#This Row],[Clients]],Costing[],MATCH("Current Sales Price",Costing[#Headers],0),0),"")</f>
        <v>518.17999999999995</v>
      </c>
    </row>
    <row r="95" spans="1:10" x14ac:dyDescent="0.2">
      <c r="A95" s="2" t="s">
        <v>86</v>
      </c>
      <c r="B95" s="4" t="s">
        <v>92</v>
      </c>
      <c r="C95" s="4" t="s">
        <v>116</v>
      </c>
      <c r="D95" s="5" t="s">
        <v>106</v>
      </c>
      <c r="E95" s="2"/>
      <c r="F95" s="19">
        <f>IFERROR(VLOOKUP(Clients[[#This Row],[Clients]],Costing[],MATCH("Total  Cost excl. Software",Costing[#Headers],0),0),"")</f>
        <v>32.055805805805804</v>
      </c>
      <c r="G95" s="19">
        <f>IFERROR(VLOOKUP(Clients[[#This Row],[Clients]],Costing[],MATCH("Current Sales Price",Costing[#Headers],0),0),"")</f>
        <v>76.38</v>
      </c>
    </row>
    <row r="96" spans="1:10" x14ac:dyDescent="0.2">
      <c r="A96" s="2" t="s">
        <v>87</v>
      </c>
      <c r="B96" s="4" t="s">
        <v>91</v>
      </c>
      <c r="C96" s="4" t="s">
        <v>128</v>
      </c>
      <c r="D96" s="4"/>
      <c r="E96" s="2"/>
      <c r="F96" s="19" t="str">
        <f>IFERROR(VLOOKUP(Clients[[#This Row],[Clients]],Costing[],MATCH("Total  Cost excl. Software",Costing[#Headers],0),0),"")</f>
        <v/>
      </c>
      <c r="G96" s="19" t="str">
        <f>IFERROR(VLOOKUP(Clients[[#This Row],[Clients]],Costing[],MATCH("Current Sales Price",Costing[#Headers],0),0),"")</f>
        <v/>
      </c>
    </row>
    <row r="97" spans="1:7" x14ac:dyDescent="0.2">
      <c r="A97" s="2" t="s">
        <v>88</v>
      </c>
      <c r="B97" s="4" t="s">
        <v>92</v>
      </c>
      <c r="C97" s="4" t="s">
        <v>115</v>
      </c>
      <c r="D97" s="5" t="s">
        <v>96</v>
      </c>
      <c r="E97" s="2"/>
      <c r="F97" s="19">
        <f>IFERROR(VLOOKUP(Clients[[#This Row],[Clients]],Costing[],MATCH("Total  Cost excl. Software",Costing[#Headers],0),0),"")</f>
        <v>46.222472472472475</v>
      </c>
      <c r="G97" s="19">
        <f>IFERROR(VLOOKUP(Clients[[#This Row],[Clients]],Costing[],MATCH("Current Sales Price",Costing[#Headers],0),0),"")</f>
        <v>186.2</v>
      </c>
    </row>
    <row r="98" spans="1:7" x14ac:dyDescent="0.2">
      <c r="A98" s="2" t="s">
        <v>89</v>
      </c>
      <c r="B98" s="4" t="s">
        <v>92</v>
      </c>
      <c r="C98" s="4" t="s">
        <v>119</v>
      </c>
      <c r="D98" s="5" t="s">
        <v>104</v>
      </c>
      <c r="E98" s="2"/>
      <c r="F98" s="19">
        <f>IFERROR(VLOOKUP(Clients[[#This Row],[Clients]],Costing[],MATCH("Total  Cost excl. Software",Costing[#Headers],0),0),"")</f>
        <v>26.222472472472472</v>
      </c>
      <c r="G98" s="19">
        <f>IFERROR(VLOOKUP(Clients[[#This Row],[Clients]],Costing[],MATCH("Current Sales Price",Costing[#Headers],0),0),"")</f>
        <v>60</v>
      </c>
    </row>
    <row r="99" spans="1:7" x14ac:dyDescent="0.2">
      <c r="A99" s="2" t="s">
        <v>90</v>
      </c>
      <c r="B99" s="4" t="s">
        <v>91</v>
      </c>
      <c r="C99" s="4" t="s">
        <v>128</v>
      </c>
      <c r="D99" s="6"/>
      <c r="E99" s="2"/>
      <c r="F99" s="19" t="str">
        <f>IFERROR(VLOOKUP(Clients[[#This Row],[Clients]],Costing[],MATCH("Total  Cost excl. Software",Costing[#Headers],0),0),"")</f>
        <v/>
      </c>
      <c r="G99" s="19" t="str">
        <f>IFERROR(VLOOKUP(Clients[[#This Row],[Clients]],Costing[],MATCH("Current Sales Price",Costing[#Headers],0),0),"")</f>
        <v/>
      </c>
    </row>
  </sheetData>
  <dataValidations count="2">
    <dataValidation type="list" allowBlank="1" showInputMessage="1" showErrorMessage="1" sqref="C3:C99" xr:uid="{E746F427-513D-1342-85BF-86ADA497B990}">
      <formula1>Staff_First_Name</formula1>
    </dataValidation>
    <dataValidation type="list" allowBlank="1" showInputMessage="1" showErrorMessage="1" sqref="D3:D99" xr:uid="{BE9A8867-1611-F841-8FFB-C2D539F8983D}">
      <formula1>Industry_Name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BC8D44-8743-FF49-B162-87CF3235E6BC}">
          <x14:formula1>
            <xm:f>'Data Validation'!$A$2:$A$5</xm:f>
          </x14:formula1>
          <xm:sqref>E3:E99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B64B7-57C3-0A43-84DD-34A6F6D1EC61}">
  <sheetPr codeName="Sheet5"/>
  <dimension ref="A1:CC171"/>
  <sheetViews>
    <sheetView zoomScale="75" workbookViewId="0">
      <pane xSplit="1" ySplit="2" topLeftCell="BL23" activePane="bottomRight" state="frozen"/>
      <selection pane="topRight" activeCell="B1" sqref="B1"/>
      <selection pane="bottomLeft" activeCell="A3" sqref="A3"/>
      <selection pane="bottomRight" activeCell="CB53" sqref="CB53"/>
    </sheetView>
  </sheetViews>
  <sheetFormatPr baseColWidth="10" defaultRowHeight="16" x14ac:dyDescent="0.2"/>
  <cols>
    <col min="1" max="1" width="33" style="10" bestFit="1" customWidth="1"/>
    <col min="2" max="2" width="14" style="10" customWidth="1"/>
    <col min="3" max="3" width="22.1640625" style="10" bestFit="1" customWidth="1"/>
    <col min="4" max="5" width="18.33203125" style="10" bestFit="1" customWidth="1"/>
    <col min="6" max="6" width="23.1640625" style="10" hidden="1" customWidth="1"/>
    <col min="7" max="7" width="14" style="10" hidden="1" customWidth="1"/>
    <col min="8" max="8" width="15.5" style="10" hidden="1" customWidth="1"/>
    <col min="9" max="9" width="21" style="10" bestFit="1" customWidth="1"/>
    <col min="10" max="10" width="14.83203125" style="10" customWidth="1"/>
    <col min="11" max="11" width="13.5" style="10" bestFit="1" customWidth="1"/>
    <col min="12" max="12" width="17.33203125" style="10" bestFit="1" customWidth="1"/>
    <col min="13" max="13" width="16.5" style="10" customWidth="1"/>
    <col min="14" max="14" width="20.6640625" style="10" hidden="1" customWidth="1"/>
    <col min="15" max="15" width="12.6640625" style="10" hidden="1" customWidth="1"/>
    <col min="16" max="16" width="14.6640625" style="10" hidden="1" customWidth="1"/>
    <col min="17" max="17" width="20" style="10" bestFit="1" customWidth="1"/>
    <col min="18" max="18" width="14.83203125" style="10" bestFit="1" customWidth="1"/>
    <col min="19" max="19" width="20" style="10" bestFit="1" customWidth="1"/>
    <col min="20" max="20" width="24" style="10" bestFit="1" customWidth="1"/>
    <col min="21" max="21" width="17.83203125" style="10" bestFit="1" customWidth="1"/>
    <col min="22" max="22" width="26.5" style="10" hidden="1" customWidth="1"/>
    <col min="23" max="23" width="19" style="10" hidden="1" customWidth="1"/>
    <col min="24" max="24" width="20.6640625" style="10" hidden="1" customWidth="1"/>
    <col min="25" max="25" width="26.33203125" style="10" bestFit="1" customWidth="1"/>
    <col min="26" max="26" width="12.33203125" style="10" bestFit="1" customWidth="1"/>
    <col min="27" max="27" width="17.1640625" style="10" bestFit="1" customWidth="1"/>
    <col min="28" max="28" width="21.6640625" style="10" bestFit="1" customWidth="1"/>
    <col min="29" max="29" width="17.83203125" style="10" bestFit="1" customWidth="1"/>
    <col min="30" max="30" width="24.5" style="10" hidden="1" customWidth="1"/>
    <col min="31" max="31" width="16.5" style="10" hidden="1" customWidth="1"/>
    <col min="32" max="32" width="18" style="10" hidden="1" customWidth="1"/>
    <col min="33" max="33" width="24.1640625" style="10" bestFit="1" customWidth="1"/>
    <col min="34" max="34" width="8.6640625" style="10" bestFit="1" customWidth="1"/>
    <col min="35" max="35" width="13.6640625" style="10" bestFit="1" customWidth="1"/>
    <col min="36" max="36" width="18" style="10" bestFit="1" customWidth="1"/>
    <col min="37" max="37" width="16.83203125" style="10" bestFit="1" customWidth="1"/>
    <col min="38" max="38" width="20.83203125" style="10" hidden="1" customWidth="1"/>
    <col min="39" max="39" width="12.83203125" style="10" hidden="1" customWidth="1"/>
    <col min="40" max="40" width="14.33203125" style="10" hidden="1" customWidth="1"/>
    <col min="41" max="41" width="20.6640625" style="10" bestFit="1" customWidth="1"/>
    <col min="42" max="42" width="8.6640625" style="10" bestFit="1" customWidth="1"/>
    <col min="43" max="43" width="13.6640625" style="10" bestFit="1" customWidth="1"/>
    <col min="44" max="44" width="18" style="10" bestFit="1" customWidth="1"/>
    <col min="45" max="45" width="16.83203125" style="10" bestFit="1" customWidth="1"/>
    <col min="46" max="46" width="20.83203125" style="10" hidden="1" customWidth="1"/>
    <col min="47" max="47" width="12.83203125" style="10" hidden="1" customWidth="1"/>
    <col min="48" max="48" width="14.33203125" style="10" hidden="1" customWidth="1"/>
    <col min="49" max="49" width="20.6640625" style="10" bestFit="1" customWidth="1"/>
    <col min="50" max="51" width="10.83203125" style="10"/>
    <col min="52" max="52" width="16" style="10" bestFit="1" customWidth="1"/>
    <col min="53" max="53" width="14.83203125" style="10" bestFit="1" customWidth="1"/>
    <col min="54" max="54" width="18.6640625" style="10" hidden="1" customWidth="1"/>
    <col min="55" max="55" width="10.83203125" style="10" hidden="1" customWidth="1"/>
    <col min="56" max="56" width="12.33203125" style="10" hidden="1" customWidth="1"/>
    <col min="57" max="57" width="18.5" style="10" bestFit="1" customWidth="1"/>
    <col min="58" max="58" width="10.83203125" style="10"/>
    <col min="59" max="59" width="14.6640625" style="10" bestFit="1" customWidth="1"/>
    <col min="60" max="60" width="13.5" style="10" bestFit="1" customWidth="1"/>
    <col min="61" max="61" width="19.1640625" style="10" hidden="1" customWidth="1"/>
    <col min="62" max="62" width="20.1640625" style="10" hidden="1" customWidth="1"/>
    <col min="63" max="63" width="14.6640625" style="10" bestFit="1" customWidth="1"/>
    <col min="64" max="64" width="13.33203125" style="10" customWidth="1"/>
    <col min="65" max="65" width="19.1640625" style="10" hidden="1" customWidth="1"/>
    <col min="66" max="66" width="20.1640625" style="10" hidden="1" customWidth="1"/>
    <col min="67" max="67" width="19.83203125" style="10" bestFit="1" customWidth="1"/>
    <col min="68" max="68" width="50.83203125" style="10" bestFit="1" customWidth="1"/>
    <col min="69" max="69" width="15.6640625" style="10" bestFit="1" customWidth="1"/>
    <col min="70" max="70" width="15.6640625" style="10" customWidth="1"/>
    <col min="71" max="71" width="17.6640625" style="51" bestFit="1" customWidth="1"/>
    <col min="72" max="72" width="20.5" style="51" bestFit="1" customWidth="1"/>
    <col min="73" max="73" width="18.5" style="51" hidden="1" customWidth="1"/>
    <col min="74" max="74" width="30.1640625" style="51" hidden="1" customWidth="1"/>
    <col min="75" max="75" width="17.5" style="51" hidden="1" customWidth="1"/>
    <col min="76" max="76" width="19.1640625" style="51" hidden="1" customWidth="1"/>
    <col min="77" max="77" width="31.6640625" style="52" bestFit="1" customWidth="1"/>
    <col min="78" max="78" width="25.1640625" style="10" bestFit="1" customWidth="1"/>
    <col min="79" max="79" width="18.5" style="10" bestFit="1" customWidth="1"/>
    <col min="80" max="80" width="16" style="10" bestFit="1" customWidth="1"/>
    <col min="81" max="81" width="20.83203125" style="10" bestFit="1" customWidth="1"/>
    <col min="82" max="16384" width="10.83203125" style="10"/>
  </cols>
  <sheetData>
    <row r="1" spans="1:81" x14ac:dyDescent="0.2">
      <c r="B1" s="73" t="s">
        <v>145</v>
      </c>
      <c r="C1" s="73"/>
      <c r="D1" s="73"/>
      <c r="E1" s="73"/>
      <c r="F1" s="73"/>
      <c r="G1" s="73"/>
      <c r="H1" s="73"/>
      <c r="I1" s="73"/>
      <c r="J1" s="74" t="s">
        <v>176</v>
      </c>
      <c r="K1" s="74"/>
      <c r="L1" s="74"/>
      <c r="M1" s="74"/>
      <c r="N1" s="74"/>
      <c r="O1" s="74"/>
      <c r="P1" s="74"/>
      <c r="Q1" s="74"/>
      <c r="R1" s="75" t="s">
        <v>177</v>
      </c>
      <c r="S1" s="75"/>
      <c r="T1" s="75"/>
      <c r="U1" s="75"/>
      <c r="V1" s="75"/>
      <c r="W1" s="75"/>
      <c r="X1" s="75"/>
      <c r="Y1" s="75"/>
      <c r="Z1" s="74" t="s">
        <v>178</v>
      </c>
      <c r="AA1" s="74"/>
      <c r="AB1" s="74"/>
      <c r="AC1" s="74"/>
      <c r="AD1" s="74"/>
      <c r="AE1" s="74"/>
      <c r="AF1" s="74"/>
      <c r="AG1" s="74"/>
      <c r="AH1" s="74" t="s">
        <v>179</v>
      </c>
      <c r="AI1" s="74"/>
      <c r="AJ1" s="74"/>
      <c r="AK1" s="74"/>
      <c r="AL1" s="74"/>
      <c r="AM1" s="74"/>
      <c r="AN1" s="74"/>
      <c r="AO1" s="74"/>
      <c r="AP1" s="74" t="s">
        <v>180</v>
      </c>
      <c r="AQ1" s="74"/>
      <c r="AR1" s="74"/>
      <c r="AS1" s="74"/>
      <c r="AT1" s="74"/>
      <c r="AU1" s="74"/>
      <c r="AV1" s="74"/>
      <c r="AW1" s="74"/>
      <c r="AX1" s="74" t="s">
        <v>181</v>
      </c>
      <c r="AY1" s="77"/>
      <c r="AZ1" s="77"/>
      <c r="BA1" s="77"/>
      <c r="BB1" s="77"/>
      <c r="BC1" s="77"/>
      <c r="BD1" s="77"/>
      <c r="BE1" s="77"/>
      <c r="BF1" s="74" t="s">
        <v>182</v>
      </c>
      <c r="BG1" s="74"/>
      <c r="BH1" s="74"/>
      <c r="BI1" s="74"/>
      <c r="BJ1" s="74"/>
      <c r="BK1" s="74"/>
      <c r="BL1" s="74"/>
      <c r="BM1" s="74"/>
      <c r="BN1" s="74"/>
      <c r="BO1" s="74"/>
      <c r="BP1" s="74" t="s">
        <v>159</v>
      </c>
      <c r="BQ1" s="74"/>
      <c r="BR1" s="47"/>
      <c r="BS1" s="76" t="s">
        <v>294</v>
      </c>
      <c r="BT1" s="76"/>
      <c r="BU1" s="76"/>
      <c r="BV1" s="76"/>
      <c r="BW1" s="50" t="s">
        <v>292</v>
      </c>
      <c r="BX1" s="53">
        <v>5.95</v>
      </c>
      <c r="CB1" s="26" t="s">
        <v>249</v>
      </c>
      <c r="CC1" s="25">
        <v>0.65</v>
      </c>
    </row>
    <row r="2" spans="1:81" x14ac:dyDescent="0.2">
      <c r="A2" s="10" t="s">
        <v>1</v>
      </c>
      <c r="B2" s="14" t="s">
        <v>145</v>
      </c>
      <c r="C2" s="15" t="s">
        <v>186</v>
      </c>
      <c r="D2" s="15" t="s">
        <v>188</v>
      </c>
      <c r="E2" s="15" t="s">
        <v>184</v>
      </c>
      <c r="F2" s="15" t="s">
        <v>199</v>
      </c>
      <c r="G2" s="15" t="s">
        <v>189</v>
      </c>
      <c r="H2" s="15" t="s">
        <v>193</v>
      </c>
      <c r="I2" s="16" t="s">
        <v>185</v>
      </c>
      <c r="J2" s="18" t="s">
        <v>176</v>
      </c>
      <c r="K2" s="10" t="s">
        <v>187</v>
      </c>
      <c r="L2" s="10" t="s">
        <v>190</v>
      </c>
      <c r="M2" s="10" t="s">
        <v>191</v>
      </c>
      <c r="N2" s="10" t="s">
        <v>200</v>
      </c>
      <c r="O2" s="10" t="s">
        <v>194</v>
      </c>
      <c r="P2" s="10" t="s">
        <v>195</v>
      </c>
      <c r="Q2" s="10" t="s">
        <v>192</v>
      </c>
      <c r="R2" s="18" t="s">
        <v>177</v>
      </c>
      <c r="S2" s="10" t="s">
        <v>196</v>
      </c>
      <c r="T2" s="10" t="s">
        <v>197</v>
      </c>
      <c r="U2" s="10" t="s">
        <v>198</v>
      </c>
      <c r="V2" s="10" t="s">
        <v>201</v>
      </c>
      <c r="W2" s="10" t="s">
        <v>202</v>
      </c>
      <c r="X2" s="10" t="s">
        <v>203</v>
      </c>
      <c r="Y2" s="10" t="s">
        <v>204</v>
      </c>
      <c r="Z2" s="18" t="s">
        <v>178</v>
      </c>
      <c r="AA2" s="10" t="s">
        <v>205</v>
      </c>
      <c r="AB2" s="10" t="s">
        <v>206</v>
      </c>
      <c r="AC2" s="10" t="s">
        <v>207</v>
      </c>
      <c r="AD2" s="10" t="s">
        <v>208</v>
      </c>
      <c r="AE2" s="10" t="s">
        <v>209</v>
      </c>
      <c r="AF2" s="10" t="s">
        <v>210</v>
      </c>
      <c r="AG2" s="10" t="s">
        <v>211</v>
      </c>
      <c r="AH2" s="18" t="s">
        <v>179</v>
      </c>
      <c r="AI2" s="10" t="s">
        <v>212</v>
      </c>
      <c r="AJ2" s="10" t="s">
        <v>213</v>
      </c>
      <c r="AK2" s="10" t="s">
        <v>214</v>
      </c>
      <c r="AL2" s="10" t="s">
        <v>215</v>
      </c>
      <c r="AM2" s="10" t="s">
        <v>216</v>
      </c>
      <c r="AN2" s="10" t="s">
        <v>217</v>
      </c>
      <c r="AO2" s="10" t="s">
        <v>218</v>
      </c>
      <c r="AP2" s="18" t="s">
        <v>180</v>
      </c>
      <c r="AQ2" s="10" t="s">
        <v>219</v>
      </c>
      <c r="AR2" s="10" t="s">
        <v>220</v>
      </c>
      <c r="AS2" s="10" t="s">
        <v>221</v>
      </c>
      <c r="AT2" s="10" t="s">
        <v>222</v>
      </c>
      <c r="AU2" s="10" t="s">
        <v>223</v>
      </c>
      <c r="AV2" s="10" t="s">
        <v>224</v>
      </c>
      <c r="AW2" s="10" t="s">
        <v>225</v>
      </c>
      <c r="AX2" s="18" t="s">
        <v>181</v>
      </c>
      <c r="AY2" s="10" t="s">
        <v>226</v>
      </c>
      <c r="AZ2" s="10" t="s">
        <v>227</v>
      </c>
      <c r="BA2" s="10" t="s">
        <v>228</v>
      </c>
      <c r="BB2" s="10" t="s">
        <v>229</v>
      </c>
      <c r="BC2" s="10" t="s">
        <v>230</v>
      </c>
      <c r="BD2" s="10" t="s">
        <v>231</v>
      </c>
      <c r="BE2" s="10" t="s">
        <v>232</v>
      </c>
      <c r="BF2" s="18" t="s">
        <v>261</v>
      </c>
      <c r="BG2" s="10" t="s">
        <v>233</v>
      </c>
      <c r="BH2" s="10" t="s">
        <v>234</v>
      </c>
      <c r="BI2" s="10" t="s">
        <v>235</v>
      </c>
      <c r="BJ2" s="10" t="s">
        <v>236</v>
      </c>
      <c r="BK2" s="10" t="s">
        <v>237</v>
      </c>
      <c r="BL2" s="10" t="s">
        <v>238</v>
      </c>
      <c r="BM2" s="10" t="s">
        <v>241</v>
      </c>
      <c r="BN2" s="10" t="s">
        <v>239</v>
      </c>
      <c r="BO2" s="10" t="s">
        <v>240</v>
      </c>
      <c r="BP2" s="10" t="s">
        <v>242</v>
      </c>
      <c r="BQ2" s="10" t="s">
        <v>243</v>
      </c>
      <c r="BR2" s="10" t="s">
        <v>294</v>
      </c>
      <c r="BS2" s="51" t="s">
        <v>287</v>
      </c>
      <c r="BT2" s="51" t="s">
        <v>289</v>
      </c>
      <c r="BU2" s="51" t="s">
        <v>290</v>
      </c>
      <c r="BV2" s="51" t="s">
        <v>293</v>
      </c>
      <c r="BW2" s="51" t="s">
        <v>291</v>
      </c>
      <c r="BX2" s="51" t="s">
        <v>288</v>
      </c>
      <c r="BY2" s="52" t="s">
        <v>295</v>
      </c>
      <c r="BZ2" s="10" t="s">
        <v>245</v>
      </c>
      <c r="CA2" s="10" t="s">
        <v>250</v>
      </c>
      <c r="CB2" s="10" t="s">
        <v>247</v>
      </c>
      <c r="CC2" s="10" t="s">
        <v>248</v>
      </c>
    </row>
    <row r="3" spans="1:81" x14ac:dyDescent="0.2">
      <c r="A3" s="11" t="s">
        <v>3</v>
      </c>
      <c r="B3" s="48"/>
      <c r="C3" s="17"/>
      <c r="D3" s="17"/>
      <c r="E3" s="17"/>
      <c r="F3" s="21" t="str">
        <f>IFERROR(Costing[[#This Row],[Minutes/Pay Run]]*Costing[[#This Row],[Payroll Factor]]/60,"")</f>
        <v/>
      </c>
      <c r="G3" s="54" t="str">
        <f>IFERROR(VLOOKUP(Costing[[#This Row],[Payroll Team]],Staff_Info[],4,0),"")</f>
        <v/>
      </c>
      <c r="H3" s="21" t="str">
        <f>IFERROR(VLOOKUP(Costing[[#This Row],[Payroll Frequency]],Frequency[],2,0),"")</f>
        <v/>
      </c>
      <c r="I3" s="55">
        <f>IFERROR(Costing[[#This Row],[Payroll Hours/Month]]*Costing[[#This Row],[Payroll Rate]],0)</f>
        <v>0</v>
      </c>
      <c r="J3" s="54"/>
      <c r="K3" s="11"/>
      <c r="L3" s="11"/>
      <c r="M3" s="11"/>
      <c r="N3" s="22" t="str">
        <f>IFERROR(Costing[[#This Row],[Minutes/Super]]*Costing[[#This Row],[Super Factor]]/60,"")</f>
        <v/>
      </c>
      <c r="O3" s="23" t="str">
        <f>IFERROR(VLOOKUP(Costing[[#This Row],[Super Team]],Staff_Info[],4,0),"")</f>
        <v/>
      </c>
      <c r="P3" s="22" t="str">
        <f>IFERROR(VLOOKUP(Costing[[#This Row],[Super Frequency]],Frequency[],2,0),"")</f>
        <v/>
      </c>
      <c r="Q3" s="55">
        <f>IFERROR(Costing[[#This Row],[Super Hours/Month]]*Costing[[#This Row],[Super Rate]],0)</f>
        <v>0</v>
      </c>
      <c r="R3" s="11" t="s">
        <v>177</v>
      </c>
      <c r="S3" s="11" t="s">
        <v>117</v>
      </c>
      <c r="T3" s="11" t="s">
        <v>157</v>
      </c>
      <c r="U3" s="11">
        <v>60</v>
      </c>
      <c r="V3" s="22">
        <f>IFERROR(Costing[[#This Row],[Minutes/Activity]]*Costing[[#This Row],[Bookkeeping Factor]]/60,"")</f>
        <v>0.33333333333333331</v>
      </c>
      <c r="W3" s="23">
        <f>IFERROR(VLOOKUP(Costing[[#This Row],[Bookkeeping Team]],Staff_Info[],4,0),"")</f>
        <v>30</v>
      </c>
      <c r="X3" s="22">
        <f>IFERROR(VLOOKUP(Costing[[#This Row],[Bookkeeping Frequency]],Frequency[],2,0),"")</f>
        <v>0.33333333333333331</v>
      </c>
      <c r="Y3" s="55">
        <f>IFERROR(Costing[[#This Row],[Bookkeeping Hours/Month]]*Costing[[#This Row],[Bookkeeping Rate]],0)</f>
        <v>10</v>
      </c>
      <c r="Z3" s="11"/>
      <c r="AA3" s="11"/>
      <c r="AB3" s="11"/>
      <c r="AC3" s="11"/>
      <c r="AD3" s="22" t="str">
        <f>IFERROR(Costing[[#This Row],[Minutes/Report]]*Costing[[#This Row],[Reporting Factor]]/60,"")</f>
        <v/>
      </c>
      <c r="AE3" s="23" t="str">
        <f>IFERROR(VLOOKUP(Costing[[#This Row],[Reporting Team]],Staff_Info[],4,0),"")</f>
        <v/>
      </c>
      <c r="AF3" s="22" t="str">
        <f>IFERROR(VLOOKUP(Costing[[#This Row],[Reporting Frequency]],Frequency[],2,0),"")</f>
        <v/>
      </c>
      <c r="AG3" s="55">
        <f>IFERROR(Costing[[#This Row],[Reporting Hours/Month]]*Costing[[#This Row],[Reporting Rate]],0)</f>
        <v>0</v>
      </c>
      <c r="AH3" s="11" t="s">
        <v>179</v>
      </c>
      <c r="AI3" s="11" t="s">
        <v>117</v>
      </c>
      <c r="AJ3" s="11" t="s">
        <v>157</v>
      </c>
      <c r="AK3" s="11">
        <v>60</v>
      </c>
      <c r="AL3" s="22">
        <f>IFERROR(Costing[[#This Row],[Minutes/BAS 1]]*Costing[[#This Row],[BAS 1 Factor]]/60,"")</f>
        <v>0.33333333333333331</v>
      </c>
      <c r="AM3" s="23">
        <f>IFERROR(VLOOKUP(Costing[[#This Row],[BAS 1 Team]],Staff_Info[],4,0),"")</f>
        <v>30</v>
      </c>
      <c r="AN3" s="22">
        <f>IFERROR(VLOOKUP(Costing[[#This Row],[BAS 1 Frequency]],Frequency[],2,0),"")</f>
        <v>0.33333333333333331</v>
      </c>
      <c r="AO3" s="55">
        <f>IFERROR(Costing[[#This Row],[BAS 1 Hours/Month]]*Costing[[#This Row],[BAS 1 Rate]],0)</f>
        <v>10</v>
      </c>
      <c r="AP3" s="11" t="s">
        <v>180</v>
      </c>
      <c r="AQ3" s="11" t="s">
        <v>117</v>
      </c>
      <c r="AR3" s="11" t="s">
        <v>157</v>
      </c>
      <c r="AS3" s="11">
        <v>15</v>
      </c>
      <c r="AT3" s="22">
        <f>IFERROR(Costing[[#This Row],[Minutes/BAS 2]]*Costing[[#This Row],[BAS 2 Factor]]/60,"")</f>
        <v>8.3333333333333329E-2</v>
      </c>
      <c r="AU3" s="23">
        <f>IFERROR(VLOOKUP(Costing[[#This Row],[BAS 2 Team]],Staff_Info[],4,0),"")</f>
        <v>30</v>
      </c>
      <c r="AV3" s="22">
        <f>IFERROR(VLOOKUP(Costing[[#This Row],[BAS 2 Frequency]],Frequency[],2,0),"")</f>
        <v>0.33333333333333331</v>
      </c>
      <c r="AW3" s="55">
        <f>IFERROR(Costing[[#This Row],[BAS 2 Hours/Month]]*Costing[[#This Row],[BAS 2 Rate]],0)</f>
        <v>2.5</v>
      </c>
      <c r="AX3" s="11"/>
      <c r="AY3" s="11"/>
      <c r="AZ3" s="11"/>
      <c r="BA3" s="11"/>
      <c r="BB3" s="22" t="str">
        <f>IFERROR(Costing[[#This Row],[Minutes/IAS]]*Costing[[#This Row],[IAS Factor]]/60,"")</f>
        <v/>
      </c>
      <c r="BC3" s="23" t="str">
        <f>IFERROR(VLOOKUP(Costing[[#This Row],[IAS Team]],Staff_Info[],4,0),"")</f>
        <v/>
      </c>
      <c r="BD3" s="22" t="str">
        <f>IFERROR(VLOOKUP(Costing[[#This Row],[IAS Frequency]],Frequency[],2,0),"")</f>
        <v/>
      </c>
      <c r="BE3" s="56">
        <f>IFERROR(Costing[[#This Row],[IAS Hours/Month]]*Costing[[#This Row],[IAS Rate]],0)</f>
        <v>0</v>
      </c>
      <c r="BF3" s="11" t="s">
        <v>182</v>
      </c>
      <c r="BG3" s="11" t="s">
        <v>117</v>
      </c>
      <c r="BH3" s="11">
        <v>45</v>
      </c>
      <c r="BI3" s="23">
        <f>IFERROR(VLOOKUP(Costing[[#This Row],[EOFY Team 1]],Staff_Info[],4,0),"")</f>
        <v>30</v>
      </c>
      <c r="BJ3" s="57">
        <f>Costing[[#This Row],[Time Min 1]]/12</f>
        <v>3.75</v>
      </c>
      <c r="BK3" s="11" t="s">
        <v>119</v>
      </c>
      <c r="BL3" s="11">
        <v>30</v>
      </c>
      <c r="BM3" s="23">
        <f>IFERROR(VLOOKUP(Costing[[#This Row],[EOFY Team 2]],Staff_Info[],4,0),"")</f>
        <v>50</v>
      </c>
      <c r="BN3" s="58">
        <f>Costing[[#This Row],[Time Min 2]]/12</f>
        <v>2.5</v>
      </c>
      <c r="BO3" s="55">
        <f>IFERROR((Costing[[#This Row],[EOFY 1 Min/Month]]/60*Costing[[#This Row],[EOFY Team 1 Rate]])+(Costing[[#This Row],[EOFY 2 Min/Month]]/60*Costing[[#This Row],[EOFY Team 2 Rate]]),0)</f>
        <v>3.958333333333333</v>
      </c>
      <c r="BP3" s="11" t="s">
        <v>165</v>
      </c>
      <c r="BQ3" s="55">
        <f>IFERROR(VLOOKUP(Costing[[#This Row],[Software Name]],Software[],2,0),0)</f>
        <v>54.4</v>
      </c>
      <c r="BR3" s="59" t="s">
        <v>294</v>
      </c>
      <c r="BS3" s="11" t="s">
        <v>119</v>
      </c>
      <c r="BT3" s="60">
        <f>IF(Costing[[#This Row],[Minutes/Activity]]&gt;0,Costing[[#This Row],[Minutes/Activity]]*Costing[[#This Row],[Onboarding Factor]],"")</f>
        <v>357</v>
      </c>
      <c r="BU3" s="60">
        <f>IFERROR(Costing[[#This Row],[Onboarding Minutes]]/60,)</f>
        <v>5.95</v>
      </c>
      <c r="BV3" s="60">
        <f t="shared" ref="BV3:BV34" si="0">6.66*12</f>
        <v>79.92</v>
      </c>
      <c r="BW3" s="61">
        <f>IFERROR(VLOOKUP(Costing[[#This Row],[Onboarding Team]],Staff_Info[],4,0),"")</f>
        <v>50</v>
      </c>
      <c r="BX3" s="60">
        <f t="shared" ref="BX3:BX34" si="1">$BX$1</f>
        <v>5.95</v>
      </c>
      <c r="BY3" s="55">
        <f>IFERROR(Costing[[#This Row],[Onboarding Hours]]/Costing[[#This Row],[Client Life Expectancy (Months)]]*Costing[[#This Row],[Onboarding Rate]],0)</f>
        <v>3.7224724724724725</v>
      </c>
      <c r="BZ3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30.180805805805804</v>
      </c>
      <c r="CA3" s="27">
        <v>68</v>
      </c>
      <c r="CB3" s="63">
        <f>IFERROR((Costing[[#This Row],[Current Sales Price]]-Costing[[#This Row],[Total  Cost excl. Software]])/Costing[[#This Row],[Current Sales Price]],)</f>
        <v>0.55616462050285587</v>
      </c>
      <c r="CC3" s="64">
        <f>Costing[[#This Row],[Total  Cost excl. Software]]/(1-$CC$1)</f>
        <v>86.230873730873725</v>
      </c>
    </row>
    <row r="4" spans="1:81" x14ac:dyDescent="0.2">
      <c r="A4" s="11" t="s">
        <v>277</v>
      </c>
      <c r="B4" s="48" t="s">
        <v>145</v>
      </c>
      <c r="C4" s="17" t="s">
        <v>117</v>
      </c>
      <c r="D4" s="17" t="s">
        <v>154</v>
      </c>
      <c r="E4" s="17">
        <v>60</v>
      </c>
      <c r="F4" s="21">
        <f>IFERROR(Costing[[#This Row],[Minutes/Pay Run]]*Costing[[#This Row],[Payroll Factor]]/60,"")</f>
        <v>4.333333333333333</v>
      </c>
      <c r="G4" s="54">
        <f>IFERROR(VLOOKUP(Costing[[#This Row],[Payroll Team]],Staff_Info[],4,0),"")</f>
        <v>30</v>
      </c>
      <c r="H4" s="21">
        <f>IFERROR(VLOOKUP(Costing[[#This Row],[Payroll Frequency]],Frequency[],2,0),"")</f>
        <v>4.333333333333333</v>
      </c>
      <c r="I4" s="55">
        <f>IFERROR(Costing[[#This Row],[Payroll Hours/Month]]*Costing[[#This Row],[Payroll Rate]],0)</f>
        <v>130</v>
      </c>
      <c r="J4" s="54" t="s">
        <v>176</v>
      </c>
      <c r="K4" s="11" t="s">
        <v>117</v>
      </c>
      <c r="L4" s="11" t="s">
        <v>183</v>
      </c>
      <c r="M4" s="11">
        <v>25</v>
      </c>
      <c r="N4" s="22">
        <f>IFERROR(Costing[[#This Row],[Minutes/Super]]*Costing[[#This Row],[Super Factor]]/60,"")</f>
        <v>0.41666666666666669</v>
      </c>
      <c r="O4" s="23">
        <f>IFERROR(VLOOKUP(Costing[[#This Row],[Super Team]],Staff_Info[],4,0),"")</f>
        <v>30</v>
      </c>
      <c r="P4" s="22">
        <f>IFERROR(VLOOKUP(Costing[[#This Row],[Super Frequency]],Frequency[],2,0),"")</f>
        <v>1</v>
      </c>
      <c r="Q4" s="55">
        <f>IFERROR(Costing[[#This Row],[Super Hours/Month]]*Costing[[#This Row],[Super Rate]],0)</f>
        <v>12.5</v>
      </c>
      <c r="R4" s="11" t="s">
        <v>177</v>
      </c>
      <c r="S4" s="11" t="s">
        <v>119</v>
      </c>
      <c r="T4" s="11" t="s">
        <v>183</v>
      </c>
      <c r="U4" s="11">
        <v>90</v>
      </c>
      <c r="V4" s="22">
        <f>IFERROR(Costing[[#This Row],[Minutes/Activity]]*Costing[[#This Row],[Bookkeeping Factor]]/60,"")</f>
        <v>1.5</v>
      </c>
      <c r="W4" s="23">
        <f>IFERROR(VLOOKUP(Costing[[#This Row],[Bookkeeping Team]],Staff_Info[],4,0),"")</f>
        <v>50</v>
      </c>
      <c r="X4" s="22">
        <f>IFERROR(VLOOKUP(Costing[[#This Row],[Bookkeeping Frequency]],Frequency[],2,0),"")</f>
        <v>1</v>
      </c>
      <c r="Y4" s="55">
        <f>IFERROR(Costing[[#This Row],[Bookkeeping Hours/Month]]*Costing[[#This Row],[Bookkeeping Rate]],0)</f>
        <v>75</v>
      </c>
      <c r="Z4" s="11" t="s">
        <v>178</v>
      </c>
      <c r="AA4" s="11" t="s">
        <v>117</v>
      </c>
      <c r="AB4" s="11" t="s">
        <v>183</v>
      </c>
      <c r="AC4" s="11">
        <v>20</v>
      </c>
      <c r="AD4" s="22">
        <f>IFERROR(Costing[[#This Row],[Minutes/Report]]*Costing[[#This Row],[Reporting Factor]]/60,"")</f>
        <v>0.33333333333333331</v>
      </c>
      <c r="AE4" s="23">
        <f>IFERROR(VLOOKUP(Costing[[#This Row],[Reporting Team]],Staff_Info[],4,0),"")</f>
        <v>30</v>
      </c>
      <c r="AF4" s="22">
        <f>IFERROR(VLOOKUP(Costing[[#This Row],[Reporting Frequency]],Frequency[],2,0),"")</f>
        <v>1</v>
      </c>
      <c r="AG4" s="55">
        <f>IFERROR(Costing[[#This Row],[Reporting Hours/Month]]*Costing[[#This Row],[Reporting Rate]],0)</f>
        <v>10</v>
      </c>
      <c r="AH4" s="11" t="s">
        <v>179</v>
      </c>
      <c r="AI4" s="11" t="s">
        <v>117</v>
      </c>
      <c r="AJ4" s="11" t="s">
        <v>183</v>
      </c>
      <c r="AK4" s="11">
        <v>20</v>
      </c>
      <c r="AL4" s="22">
        <f>IFERROR(Costing[[#This Row],[Minutes/BAS 1]]*Costing[[#This Row],[BAS 1 Factor]]/60,"")</f>
        <v>0.33333333333333331</v>
      </c>
      <c r="AM4" s="23">
        <f>IFERROR(VLOOKUP(Costing[[#This Row],[BAS 1 Team]],Staff_Info[],4,0),"")</f>
        <v>30</v>
      </c>
      <c r="AN4" s="22">
        <f>IFERROR(VLOOKUP(Costing[[#This Row],[BAS 1 Frequency]],Frequency[],2,0),"")</f>
        <v>1</v>
      </c>
      <c r="AO4" s="55">
        <f>IFERROR(Costing[[#This Row],[BAS 1 Hours/Month]]*Costing[[#This Row],[BAS 1 Rate]],0)</f>
        <v>10</v>
      </c>
      <c r="AP4" s="11" t="s">
        <v>180</v>
      </c>
      <c r="AQ4" s="11" t="s">
        <v>117</v>
      </c>
      <c r="AR4" s="11" t="s">
        <v>183</v>
      </c>
      <c r="AS4" s="11">
        <v>5</v>
      </c>
      <c r="AT4" s="22">
        <f>IFERROR(Costing[[#This Row],[Minutes/BAS 2]]*Costing[[#This Row],[BAS 2 Factor]]/60,"")</f>
        <v>8.3333333333333329E-2</v>
      </c>
      <c r="AU4" s="23">
        <f>IFERROR(VLOOKUP(Costing[[#This Row],[BAS 2 Team]],Staff_Info[],4,0),"")</f>
        <v>30</v>
      </c>
      <c r="AV4" s="22">
        <f>IFERROR(VLOOKUP(Costing[[#This Row],[BAS 2 Frequency]],Frequency[],2,0),"")</f>
        <v>1</v>
      </c>
      <c r="AW4" s="55">
        <f>IFERROR(Costing[[#This Row],[BAS 2 Hours/Month]]*Costing[[#This Row],[BAS 2 Rate]],0)</f>
        <v>2.5</v>
      </c>
      <c r="AX4" s="11"/>
      <c r="AY4" s="11"/>
      <c r="AZ4" s="11"/>
      <c r="BA4" s="11"/>
      <c r="BB4" s="22" t="str">
        <f>IFERROR(Costing[[#This Row],[Minutes/IAS]]*Costing[[#This Row],[IAS Factor]]/60,"")</f>
        <v/>
      </c>
      <c r="BC4" s="23" t="str">
        <f>IFERROR(VLOOKUP(Costing[[#This Row],[IAS Team]],Staff_Info[],4,0),"")</f>
        <v/>
      </c>
      <c r="BD4" s="22" t="str">
        <f>IFERROR(VLOOKUP(Costing[[#This Row],[IAS Frequency]],Frequency[],2,0),"")</f>
        <v/>
      </c>
      <c r="BE4" s="56">
        <f>IFERROR(Costing[[#This Row],[IAS Hours/Month]]*Costing[[#This Row],[IAS Rate]],0)</f>
        <v>0</v>
      </c>
      <c r="BF4" s="11" t="s">
        <v>182</v>
      </c>
      <c r="BG4" s="11" t="s">
        <v>117</v>
      </c>
      <c r="BH4" s="11">
        <v>120</v>
      </c>
      <c r="BI4" s="23">
        <f>IFERROR(VLOOKUP(Costing[[#This Row],[EOFY Team 1]],Staff_Info[],4,0),"")</f>
        <v>30</v>
      </c>
      <c r="BJ4" s="57">
        <f>Costing[[#This Row],[Time Min 1]]/12</f>
        <v>10</v>
      </c>
      <c r="BK4" s="11" t="s">
        <v>119</v>
      </c>
      <c r="BL4" s="11">
        <v>120</v>
      </c>
      <c r="BM4" s="23">
        <f>IFERROR(VLOOKUP(Costing[[#This Row],[EOFY Team 2]],Staff_Info[],4,0),"")</f>
        <v>50</v>
      </c>
      <c r="BN4" s="57">
        <f>Costing[[#This Row],[Time Min 2]]/12</f>
        <v>10</v>
      </c>
      <c r="BO4" s="55">
        <f>IFERROR((Costing[[#This Row],[EOFY 1 Min/Month]]/60*Costing[[#This Row],[EOFY Team 1 Rate]])+(Costing[[#This Row],[EOFY 2 Min/Month]]/60*Costing[[#This Row],[EOFY Team 2 Rate]]),0)</f>
        <v>13.333333333333332</v>
      </c>
      <c r="BP4" s="11" t="s">
        <v>163</v>
      </c>
      <c r="BQ4" s="55">
        <f>IFERROR(VLOOKUP(Costing[[#This Row],[Software Name]],Software[],2,0),0)</f>
        <v>36.36</v>
      </c>
      <c r="BR4" s="59" t="s">
        <v>294</v>
      </c>
      <c r="BS4" s="11" t="s">
        <v>119</v>
      </c>
      <c r="BT4" s="60">
        <f>IF(Costing[[#This Row],[Minutes/Activity]]&gt;0,Costing[[#This Row],[Minutes/Activity]]*Costing[[#This Row],[Onboarding Factor]],"")</f>
        <v>535.5</v>
      </c>
      <c r="BU4" s="60">
        <f>IFERROR(Costing[[#This Row],[Onboarding Minutes]]/60,)</f>
        <v>8.9250000000000007</v>
      </c>
      <c r="BV4" s="60">
        <f t="shared" si="0"/>
        <v>79.92</v>
      </c>
      <c r="BW4" s="61">
        <f>IFERROR(VLOOKUP(Costing[[#This Row],[Onboarding Team]],Staff_Info[],4,0),"")</f>
        <v>50</v>
      </c>
      <c r="BX4" s="60">
        <f t="shared" si="1"/>
        <v>5.95</v>
      </c>
      <c r="BY4" s="55">
        <f>IFERROR(Costing[[#This Row],[Onboarding Hours]]/Costing[[#This Row],[Client Life Expectancy (Months)]]*Costing[[#This Row],[Onboarding Rate]],0)</f>
        <v>5.5837087087087092</v>
      </c>
      <c r="BZ4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258.91704204204206</v>
      </c>
      <c r="CA4" s="27">
        <v>775.8</v>
      </c>
      <c r="CB4" s="63">
        <f>IFERROR((Costing[[#This Row],[Current Sales Price]]-Costing[[#This Row],[Total  Cost excl. Software]])/Costing[[#This Row],[Current Sales Price]],)</f>
        <v>0.66625800200819529</v>
      </c>
      <c r="CC4" s="64">
        <f>Costing[[#This Row],[Total  Cost excl. Software]]/(1-$CC$1)</f>
        <v>739.7629772629773</v>
      </c>
    </row>
    <row r="5" spans="1:81" x14ac:dyDescent="0.2">
      <c r="A5" s="11" t="s">
        <v>4</v>
      </c>
      <c r="B5" s="48"/>
      <c r="C5" s="17"/>
      <c r="D5" s="17"/>
      <c r="E5" s="17"/>
      <c r="F5" s="21" t="str">
        <f>IFERROR(Costing[[#This Row],[Minutes/Pay Run]]*Costing[[#This Row],[Payroll Factor]]/60,"")</f>
        <v/>
      </c>
      <c r="G5" s="54" t="str">
        <f>IFERROR(VLOOKUP(Costing[[#This Row],[Payroll Team]],Staff_Info[],4,0),"")</f>
        <v/>
      </c>
      <c r="H5" s="21" t="str">
        <f>IFERROR(VLOOKUP(Costing[[#This Row],[Payroll Frequency]],Frequency[],2,0),"")</f>
        <v/>
      </c>
      <c r="I5" s="55">
        <f>IFERROR(Costing[[#This Row],[Payroll Hours/Month]]*Costing[[#This Row],[Payroll Rate]],0)</f>
        <v>0</v>
      </c>
      <c r="J5" s="54" t="s">
        <v>176</v>
      </c>
      <c r="K5" s="11" t="s">
        <v>118</v>
      </c>
      <c r="L5" s="11" t="s">
        <v>183</v>
      </c>
      <c r="M5" s="11">
        <v>30</v>
      </c>
      <c r="N5" s="22">
        <f>IFERROR(Costing[[#This Row],[Minutes/Super]]*Costing[[#This Row],[Super Factor]]/60,"")</f>
        <v>0.5</v>
      </c>
      <c r="O5" s="23">
        <f>IFERROR(VLOOKUP(Costing[[#This Row],[Super Team]],Staff_Info[],4,0),"")</f>
        <v>10</v>
      </c>
      <c r="P5" s="22">
        <f>IFERROR(VLOOKUP(Costing[[#This Row],[Super Frequency]],Frequency[],2,0),"")</f>
        <v>1</v>
      </c>
      <c r="Q5" s="55">
        <f>IFERROR(Costing[[#This Row],[Super Hours/Month]]*Costing[[#This Row],[Super Rate]],0)</f>
        <v>5</v>
      </c>
      <c r="R5" s="11" t="s">
        <v>177</v>
      </c>
      <c r="S5" s="11" t="s">
        <v>118</v>
      </c>
      <c r="T5" s="11" t="s">
        <v>183</v>
      </c>
      <c r="U5" s="11">
        <v>150</v>
      </c>
      <c r="V5" s="22">
        <f>IFERROR(Costing[[#This Row],[Minutes/Activity]]*Costing[[#This Row],[Bookkeeping Factor]]/60,"")</f>
        <v>2.5</v>
      </c>
      <c r="W5" s="23">
        <f>IFERROR(VLOOKUP(Costing[[#This Row],[Bookkeeping Team]],Staff_Info[],4,0),"")</f>
        <v>10</v>
      </c>
      <c r="X5" s="22">
        <f>IFERROR(VLOOKUP(Costing[[#This Row],[Bookkeeping Frequency]],Frequency[],2,0),"")</f>
        <v>1</v>
      </c>
      <c r="Y5" s="55">
        <f>IFERROR(Costing[[#This Row],[Bookkeeping Hours/Month]]*Costing[[#This Row],[Bookkeeping Rate]],0)</f>
        <v>25</v>
      </c>
      <c r="Z5" s="11" t="s">
        <v>178</v>
      </c>
      <c r="AA5" s="11" t="s">
        <v>119</v>
      </c>
      <c r="AB5" s="11" t="s">
        <v>183</v>
      </c>
      <c r="AC5" s="11">
        <v>20</v>
      </c>
      <c r="AD5" s="22">
        <f>IFERROR(Costing[[#This Row],[Minutes/Report]]*Costing[[#This Row],[Reporting Factor]]/60,"")</f>
        <v>0.33333333333333331</v>
      </c>
      <c r="AE5" s="23">
        <f>IFERROR(VLOOKUP(Costing[[#This Row],[Reporting Team]],Staff_Info[],4,0),"")</f>
        <v>50</v>
      </c>
      <c r="AF5" s="22">
        <f>IFERROR(VLOOKUP(Costing[[#This Row],[Reporting Frequency]],Frequency[],2,0),"")</f>
        <v>1</v>
      </c>
      <c r="AG5" s="55">
        <f>IFERROR(Costing[[#This Row],[Reporting Hours/Month]]*Costing[[#This Row],[Reporting Rate]],0)</f>
        <v>16.666666666666664</v>
      </c>
      <c r="AH5" s="11" t="s">
        <v>179</v>
      </c>
      <c r="AI5" s="11" t="s">
        <v>118</v>
      </c>
      <c r="AJ5" s="11" t="s">
        <v>157</v>
      </c>
      <c r="AK5" s="11">
        <v>60</v>
      </c>
      <c r="AL5" s="22">
        <f>IFERROR(Costing[[#This Row],[Minutes/BAS 1]]*Costing[[#This Row],[BAS 1 Factor]]/60,"")</f>
        <v>0.33333333333333331</v>
      </c>
      <c r="AM5" s="23">
        <f>IFERROR(VLOOKUP(Costing[[#This Row],[BAS 1 Team]],Staff_Info[],4,0),"")</f>
        <v>10</v>
      </c>
      <c r="AN5" s="22">
        <f>IFERROR(VLOOKUP(Costing[[#This Row],[BAS 1 Frequency]],Frequency[],2,0),"")</f>
        <v>0.33333333333333331</v>
      </c>
      <c r="AO5" s="55">
        <f>IFERROR(Costing[[#This Row],[BAS 1 Hours/Month]]*Costing[[#This Row],[BAS 1 Rate]],0)</f>
        <v>3.333333333333333</v>
      </c>
      <c r="AP5" s="11" t="s">
        <v>180</v>
      </c>
      <c r="AQ5" s="11" t="s">
        <v>117</v>
      </c>
      <c r="AR5" s="11" t="s">
        <v>157</v>
      </c>
      <c r="AS5" s="11">
        <v>15</v>
      </c>
      <c r="AT5" s="22">
        <f>IFERROR(Costing[[#This Row],[Minutes/BAS 2]]*Costing[[#This Row],[BAS 2 Factor]]/60,"")</f>
        <v>8.3333333333333329E-2</v>
      </c>
      <c r="AU5" s="23">
        <f>IFERROR(VLOOKUP(Costing[[#This Row],[BAS 2 Team]],Staff_Info[],4,0),"")</f>
        <v>30</v>
      </c>
      <c r="AV5" s="22">
        <f>IFERROR(VLOOKUP(Costing[[#This Row],[BAS 2 Frequency]],Frequency[],2,0),"")</f>
        <v>0.33333333333333331</v>
      </c>
      <c r="AW5" s="55">
        <f>IFERROR(Costing[[#This Row],[BAS 2 Hours/Month]]*Costing[[#This Row],[BAS 2 Rate]],0)</f>
        <v>2.5</v>
      </c>
      <c r="AX5" s="11"/>
      <c r="AY5" s="11"/>
      <c r="AZ5" s="11"/>
      <c r="BA5" s="11"/>
      <c r="BB5" s="22" t="str">
        <f>IFERROR(Costing[[#This Row],[Minutes/IAS]]*Costing[[#This Row],[IAS Factor]]/60,"")</f>
        <v/>
      </c>
      <c r="BC5" s="23" t="str">
        <f>IFERROR(VLOOKUP(Costing[[#This Row],[IAS Team]],Staff_Info[],4,0),"")</f>
        <v/>
      </c>
      <c r="BD5" s="22" t="str">
        <f>IFERROR(VLOOKUP(Costing[[#This Row],[IAS Frequency]],Frequency[],2,0),"")</f>
        <v/>
      </c>
      <c r="BE5" s="56">
        <f>IFERROR(Costing[[#This Row],[IAS Hours/Month]]*Costing[[#This Row],[IAS Rate]],0)</f>
        <v>0</v>
      </c>
      <c r="BF5" s="11" t="s">
        <v>182</v>
      </c>
      <c r="BG5" s="11" t="s">
        <v>118</v>
      </c>
      <c r="BH5" s="11">
        <v>180</v>
      </c>
      <c r="BI5" s="23">
        <f>IFERROR(VLOOKUP(Costing[[#This Row],[EOFY Team 1]],Staff_Info[],4,0),"")</f>
        <v>10</v>
      </c>
      <c r="BJ5" s="57">
        <f>Costing[[#This Row],[Time Min 1]]/12</f>
        <v>15</v>
      </c>
      <c r="BK5" s="11" t="s">
        <v>119</v>
      </c>
      <c r="BL5" s="11">
        <v>120</v>
      </c>
      <c r="BM5" s="23">
        <f>IFERROR(VLOOKUP(Costing[[#This Row],[EOFY Team 2]],Staff_Info[],4,0),"")</f>
        <v>50</v>
      </c>
      <c r="BN5" s="57">
        <f>Costing[[#This Row],[Time Min 2]]/12</f>
        <v>10</v>
      </c>
      <c r="BO5" s="55">
        <f>IFERROR((Costing[[#This Row],[EOFY 1 Min/Month]]/60*Costing[[#This Row],[EOFY Team 1 Rate]])+(Costing[[#This Row],[EOFY 2 Min/Month]]/60*Costing[[#This Row],[EOFY Team 2 Rate]]),0)</f>
        <v>10.833333333333332</v>
      </c>
      <c r="BP5" s="11" t="s">
        <v>172</v>
      </c>
      <c r="BQ5" s="55">
        <f>IFERROR(VLOOKUP(Costing[[#This Row],[Software Name]],Software[],2,0),0)</f>
        <v>35.72</v>
      </c>
      <c r="BR5" s="59" t="s">
        <v>294</v>
      </c>
      <c r="BS5" s="11" t="s">
        <v>119</v>
      </c>
      <c r="BT5" s="60">
        <f>IF(Costing[[#This Row],[Minutes/Activity]]&gt;0,Costing[[#This Row],[Minutes/Activity]]*Costing[[#This Row],[Onboarding Factor]],"")</f>
        <v>892.5</v>
      </c>
      <c r="BU5" s="60">
        <f>IFERROR(Costing[[#This Row],[Onboarding Minutes]]/60,)</f>
        <v>14.875</v>
      </c>
      <c r="BV5" s="60">
        <f t="shared" si="0"/>
        <v>79.92</v>
      </c>
      <c r="BW5" s="61">
        <f>IFERROR(VLOOKUP(Costing[[#This Row],[Onboarding Team]],Staff_Info[],4,0),"")</f>
        <v>50</v>
      </c>
      <c r="BX5" s="60">
        <f t="shared" si="1"/>
        <v>5.95</v>
      </c>
      <c r="BY5" s="55">
        <f>IFERROR(Costing[[#This Row],[Onboarding Hours]]/Costing[[#This Row],[Client Life Expectancy (Months)]]*Costing[[#This Row],[Onboarding Rate]],0)</f>
        <v>9.3061811811811808</v>
      </c>
      <c r="BZ5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72.639514514514502</v>
      </c>
      <c r="CA5" s="27">
        <v>228.75</v>
      </c>
      <c r="CB5" s="63">
        <f>IFERROR((Costing[[#This Row],[Current Sales Price]]-Costing[[#This Row],[Total  Cost excl. Software]])/Costing[[#This Row],[Current Sales Price]],)</f>
        <v>0.68245020977261417</v>
      </c>
      <c r="CC5" s="64">
        <f>Costing[[#This Row],[Total  Cost excl. Software]]/(1-$CC$1)</f>
        <v>207.54147004147001</v>
      </c>
    </row>
    <row r="6" spans="1:81" x14ac:dyDescent="0.2">
      <c r="A6" s="11" t="s">
        <v>5</v>
      </c>
      <c r="B6" s="48"/>
      <c r="C6" s="17"/>
      <c r="D6" s="17"/>
      <c r="E6" s="17"/>
      <c r="F6" s="21" t="str">
        <f>IFERROR(Costing[[#This Row],[Minutes/Pay Run]]*Costing[[#This Row],[Payroll Factor]]/60,"")</f>
        <v/>
      </c>
      <c r="G6" s="54" t="str">
        <f>IFERROR(VLOOKUP(Costing[[#This Row],[Payroll Team]],Staff_Info[],4,0),"")</f>
        <v/>
      </c>
      <c r="H6" s="21" t="str">
        <f>IFERROR(VLOOKUP(Costing[[#This Row],[Payroll Frequency]],Frequency[],2,0),"")</f>
        <v/>
      </c>
      <c r="I6" s="55">
        <f>IFERROR(Costing[[#This Row],[Payroll Hours/Month]]*Costing[[#This Row],[Payroll Rate]],0)</f>
        <v>0</v>
      </c>
      <c r="J6" s="54"/>
      <c r="K6" s="11"/>
      <c r="L6" s="11"/>
      <c r="M6" s="11"/>
      <c r="N6" s="22" t="str">
        <f>IFERROR(Costing[[#This Row],[Minutes/Super]]*Costing[[#This Row],[Super Factor]]/60,"")</f>
        <v/>
      </c>
      <c r="O6" s="23" t="str">
        <f>IFERROR(VLOOKUP(Costing[[#This Row],[Super Team]],Staff_Info[],4,0),"")</f>
        <v/>
      </c>
      <c r="P6" s="22" t="str">
        <f>IFERROR(VLOOKUP(Costing[[#This Row],[Super Frequency]],Frequency[],2,0),"")</f>
        <v/>
      </c>
      <c r="Q6" s="55">
        <f>IFERROR(Costing[[#This Row],[Super Hours/Month]]*Costing[[#This Row],[Super Rate]],0)</f>
        <v>0</v>
      </c>
      <c r="R6" s="11" t="s">
        <v>177</v>
      </c>
      <c r="S6" s="11" t="s">
        <v>117</v>
      </c>
      <c r="T6" s="11" t="s">
        <v>183</v>
      </c>
      <c r="U6" s="11">
        <v>75</v>
      </c>
      <c r="V6" s="22">
        <f>IFERROR(Costing[[#This Row],[Minutes/Activity]]*Costing[[#This Row],[Bookkeeping Factor]]/60,"")</f>
        <v>1.25</v>
      </c>
      <c r="W6" s="23">
        <f>IFERROR(VLOOKUP(Costing[[#This Row],[Bookkeeping Team]],Staff_Info[],4,0),"")</f>
        <v>30</v>
      </c>
      <c r="X6" s="22">
        <f>IFERROR(VLOOKUP(Costing[[#This Row],[Bookkeeping Frequency]],Frequency[],2,0),"")</f>
        <v>1</v>
      </c>
      <c r="Y6" s="55">
        <f>IFERROR(Costing[[#This Row],[Bookkeeping Hours/Month]]*Costing[[#This Row],[Bookkeeping Rate]],0)</f>
        <v>37.5</v>
      </c>
      <c r="Z6" s="11" t="s">
        <v>178</v>
      </c>
      <c r="AA6" s="11" t="s">
        <v>119</v>
      </c>
      <c r="AB6" s="11" t="s">
        <v>183</v>
      </c>
      <c r="AC6" s="11">
        <v>20</v>
      </c>
      <c r="AD6" s="22">
        <f>IFERROR(Costing[[#This Row],[Minutes/Report]]*Costing[[#This Row],[Reporting Factor]]/60,"")</f>
        <v>0.33333333333333331</v>
      </c>
      <c r="AE6" s="23">
        <f>IFERROR(VLOOKUP(Costing[[#This Row],[Reporting Team]],Staff_Info[],4,0),"")</f>
        <v>50</v>
      </c>
      <c r="AF6" s="22">
        <f>IFERROR(VLOOKUP(Costing[[#This Row],[Reporting Frequency]],Frequency[],2,0),"")</f>
        <v>1</v>
      </c>
      <c r="AG6" s="55">
        <f>IFERROR(Costing[[#This Row],[Reporting Hours/Month]]*Costing[[#This Row],[Reporting Rate]],0)</f>
        <v>16.666666666666664</v>
      </c>
      <c r="AH6" s="11" t="s">
        <v>179</v>
      </c>
      <c r="AI6" s="11" t="s">
        <v>117</v>
      </c>
      <c r="AJ6" s="11" t="s">
        <v>157</v>
      </c>
      <c r="AK6" s="11">
        <v>60</v>
      </c>
      <c r="AL6" s="22">
        <f>IFERROR(Costing[[#This Row],[Minutes/BAS 1]]*Costing[[#This Row],[BAS 1 Factor]]/60,"")</f>
        <v>0.33333333333333331</v>
      </c>
      <c r="AM6" s="23">
        <f>IFERROR(VLOOKUP(Costing[[#This Row],[BAS 1 Team]],Staff_Info[],4,0),"")</f>
        <v>30</v>
      </c>
      <c r="AN6" s="22">
        <f>IFERROR(VLOOKUP(Costing[[#This Row],[BAS 1 Frequency]],Frequency[],2,0),"")</f>
        <v>0.33333333333333331</v>
      </c>
      <c r="AO6" s="55">
        <f>IFERROR(Costing[[#This Row],[BAS 1 Hours/Month]]*Costing[[#This Row],[BAS 1 Rate]],0)</f>
        <v>10</v>
      </c>
      <c r="AP6" s="11" t="s">
        <v>180</v>
      </c>
      <c r="AQ6" s="11" t="s">
        <v>117</v>
      </c>
      <c r="AR6" s="11" t="s">
        <v>157</v>
      </c>
      <c r="AS6" s="11">
        <v>15</v>
      </c>
      <c r="AT6" s="22">
        <f>IFERROR(Costing[[#This Row],[Minutes/BAS 2]]*Costing[[#This Row],[BAS 2 Factor]]/60,"")</f>
        <v>8.3333333333333329E-2</v>
      </c>
      <c r="AU6" s="23">
        <f>IFERROR(VLOOKUP(Costing[[#This Row],[BAS 2 Team]],Staff_Info[],4,0),"")</f>
        <v>30</v>
      </c>
      <c r="AV6" s="22">
        <f>IFERROR(VLOOKUP(Costing[[#This Row],[BAS 2 Frequency]],Frequency[],2,0),"")</f>
        <v>0.33333333333333331</v>
      </c>
      <c r="AW6" s="55">
        <f>IFERROR(Costing[[#This Row],[BAS 2 Hours/Month]]*Costing[[#This Row],[BAS 2 Rate]],0)</f>
        <v>2.5</v>
      </c>
      <c r="AX6" s="11"/>
      <c r="AY6" s="11"/>
      <c r="AZ6" s="11"/>
      <c r="BA6" s="11"/>
      <c r="BB6" s="22" t="str">
        <f>IFERROR(Costing[[#This Row],[Minutes/IAS]]*Costing[[#This Row],[IAS Factor]]/60,"")</f>
        <v/>
      </c>
      <c r="BC6" s="23" t="str">
        <f>IFERROR(VLOOKUP(Costing[[#This Row],[IAS Team]],Staff_Info[],4,0),"")</f>
        <v/>
      </c>
      <c r="BD6" s="22" t="str">
        <f>IFERROR(VLOOKUP(Costing[[#This Row],[IAS Frequency]],Frequency[],2,0),"")</f>
        <v/>
      </c>
      <c r="BE6" s="56">
        <f>IFERROR(Costing[[#This Row],[IAS Hours/Month]]*Costing[[#This Row],[IAS Rate]],0)</f>
        <v>0</v>
      </c>
      <c r="BF6" s="11" t="s">
        <v>182</v>
      </c>
      <c r="BG6" s="11" t="s">
        <v>117</v>
      </c>
      <c r="BH6" s="11">
        <v>120</v>
      </c>
      <c r="BI6" s="23">
        <f>IFERROR(VLOOKUP(Costing[[#This Row],[EOFY Team 1]],Staff_Info[],4,0),"")</f>
        <v>30</v>
      </c>
      <c r="BJ6" s="57">
        <f>Costing[[#This Row],[Time Min 1]]/12</f>
        <v>10</v>
      </c>
      <c r="BK6" s="11" t="s">
        <v>119</v>
      </c>
      <c r="BL6" s="11">
        <v>120</v>
      </c>
      <c r="BM6" s="23">
        <f>IFERROR(VLOOKUP(Costing[[#This Row],[EOFY Team 2]],Staff_Info[],4,0),"")</f>
        <v>50</v>
      </c>
      <c r="BN6" s="57">
        <f>Costing[[#This Row],[Time Min 2]]/12</f>
        <v>10</v>
      </c>
      <c r="BO6" s="55">
        <f>IFERROR((Costing[[#This Row],[EOFY 1 Min/Month]]/60*Costing[[#This Row],[EOFY Team 1 Rate]])+(Costing[[#This Row],[EOFY 2 Min/Month]]/60*Costing[[#This Row],[EOFY Team 2 Rate]]),0)</f>
        <v>13.333333333333332</v>
      </c>
      <c r="BP6" s="11" t="s">
        <v>171</v>
      </c>
      <c r="BQ6" s="55">
        <f>IFERROR(VLOOKUP(Costing[[#This Row],[Software Name]],Software[],2,0),0)</f>
        <v>18.190000000000001</v>
      </c>
      <c r="BR6" s="59" t="s">
        <v>294</v>
      </c>
      <c r="BS6" s="11" t="s">
        <v>119</v>
      </c>
      <c r="BT6" s="60">
        <f>IF(Costing[[#This Row],[Minutes/Activity]]&gt;0,Costing[[#This Row],[Minutes/Activity]]*Costing[[#This Row],[Onboarding Factor]],"")</f>
        <v>446.25</v>
      </c>
      <c r="BU6" s="60">
        <f>IFERROR(Costing[[#This Row],[Onboarding Minutes]]/60,)</f>
        <v>7.4375</v>
      </c>
      <c r="BV6" s="60">
        <f t="shared" si="0"/>
        <v>79.92</v>
      </c>
      <c r="BW6" s="61">
        <f>IFERROR(VLOOKUP(Costing[[#This Row],[Onboarding Team]],Staff_Info[],4,0),"")</f>
        <v>50</v>
      </c>
      <c r="BX6" s="60">
        <f t="shared" si="1"/>
        <v>5.95</v>
      </c>
      <c r="BY6" s="55">
        <f>IFERROR(Costing[[#This Row],[Onboarding Hours]]/Costing[[#This Row],[Client Life Expectancy (Months)]]*Costing[[#This Row],[Onboarding Rate]],0)</f>
        <v>4.6530905905905904</v>
      </c>
      <c r="BZ6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84.65309059059058</v>
      </c>
      <c r="CA6" s="27">
        <v>265.91000000000003</v>
      </c>
      <c r="CB6" s="63">
        <f>IFERROR((Costing[[#This Row],[Current Sales Price]]-Costing[[#This Row],[Total  Cost excl. Software]])/Costing[[#This Row],[Current Sales Price]],)</f>
        <v>0.68164758530859848</v>
      </c>
      <c r="CC6" s="64">
        <f>Costing[[#This Row],[Total  Cost excl. Software]]/(1-$CC$1)</f>
        <v>241.86597311597311</v>
      </c>
    </row>
    <row r="7" spans="1:81" x14ac:dyDescent="0.2">
      <c r="A7" s="11" t="s">
        <v>6</v>
      </c>
      <c r="B7" s="48"/>
      <c r="C7" s="17"/>
      <c r="D7" s="17"/>
      <c r="E7" s="17"/>
      <c r="F7" s="21" t="str">
        <f>IFERROR(Costing[[#This Row],[Minutes/Pay Run]]*Costing[[#This Row],[Payroll Factor]]/60,"")</f>
        <v/>
      </c>
      <c r="G7" s="54" t="str">
        <f>IFERROR(VLOOKUP(Costing[[#This Row],[Payroll Team]],Staff_Info[],4,0),"")</f>
        <v/>
      </c>
      <c r="H7" s="21" t="str">
        <f>IFERROR(VLOOKUP(Costing[[#This Row],[Payroll Frequency]],Frequency[],2,0),"")</f>
        <v/>
      </c>
      <c r="I7" s="55">
        <f>IFERROR(Costing[[#This Row],[Payroll Hours/Month]]*Costing[[#This Row],[Payroll Rate]],0)</f>
        <v>0</v>
      </c>
      <c r="J7" s="54"/>
      <c r="K7" s="11"/>
      <c r="L7" s="11"/>
      <c r="M7" s="11"/>
      <c r="N7" s="22" t="str">
        <f>IFERROR(Costing[[#This Row],[Minutes/Super]]*Costing[[#This Row],[Super Factor]]/60,"")</f>
        <v/>
      </c>
      <c r="O7" s="23" t="str">
        <f>IFERROR(VLOOKUP(Costing[[#This Row],[Super Team]],Staff_Info[],4,0),"")</f>
        <v/>
      </c>
      <c r="P7" s="22" t="str">
        <f>IFERROR(VLOOKUP(Costing[[#This Row],[Super Frequency]],Frequency[],2,0),"")</f>
        <v/>
      </c>
      <c r="Q7" s="55">
        <f>IFERROR(Costing[[#This Row],[Super Hours/Month]]*Costing[[#This Row],[Super Rate]],0)</f>
        <v>0</v>
      </c>
      <c r="R7" s="11" t="s">
        <v>177</v>
      </c>
      <c r="S7" s="11" t="s">
        <v>116</v>
      </c>
      <c r="T7" s="11" t="s">
        <v>183</v>
      </c>
      <c r="U7" s="11">
        <v>120</v>
      </c>
      <c r="V7" s="22">
        <f>IFERROR(Costing[[#This Row],[Minutes/Activity]]*Costing[[#This Row],[Bookkeeping Factor]]/60,"")</f>
        <v>2</v>
      </c>
      <c r="W7" s="23">
        <f>IFERROR(VLOOKUP(Costing[[#This Row],[Bookkeeping Team]],Staff_Info[],4,0),"")</f>
        <v>10</v>
      </c>
      <c r="X7" s="22">
        <f>IFERROR(VLOOKUP(Costing[[#This Row],[Bookkeeping Frequency]],Frequency[],2,0),"")</f>
        <v>1</v>
      </c>
      <c r="Y7" s="55">
        <f>IFERROR(Costing[[#This Row],[Bookkeeping Hours/Month]]*Costing[[#This Row],[Bookkeeping Rate]],0)</f>
        <v>20</v>
      </c>
      <c r="Z7" s="11" t="s">
        <v>178</v>
      </c>
      <c r="AA7" s="11" t="s">
        <v>119</v>
      </c>
      <c r="AB7" s="11" t="s">
        <v>183</v>
      </c>
      <c r="AC7" s="11">
        <v>15</v>
      </c>
      <c r="AD7" s="22">
        <f>IFERROR(Costing[[#This Row],[Minutes/Report]]*Costing[[#This Row],[Reporting Factor]]/60,"")</f>
        <v>0.25</v>
      </c>
      <c r="AE7" s="23">
        <f>IFERROR(VLOOKUP(Costing[[#This Row],[Reporting Team]],Staff_Info[],4,0),"")</f>
        <v>50</v>
      </c>
      <c r="AF7" s="22">
        <f>IFERROR(VLOOKUP(Costing[[#This Row],[Reporting Frequency]],Frequency[],2,0),"")</f>
        <v>1</v>
      </c>
      <c r="AG7" s="55">
        <f>IFERROR(Costing[[#This Row],[Reporting Hours/Month]]*Costing[[#This Row],[Reporting Rate]],0)</f>
        <v>12.5</v>
      </c>
      <c r="AH7" s="11" t="s">
        <v>179</v>
      </c>
      <c r="AI7" s="11" t="s">
        <v>116</v>
      </c>
      <c r="AJ7" s="11" t="s">
        <v>157</v>
      </c>
      <c r="AK7" s="11">
        <v>60</v>
      </c>
      <c r="AL7" s="22">
        <f>IFERROR(Costing[[#This Row],[Minutes/BAS 1]]*Costing[[#This Row],[BAS 1 Factor]]/60,"")</f>
        <v>0.33333333333333331</v>
      </c>
      <c r="AM7" s="23">
        <f>IFERROR(VLOOKUP(Costing[[#This Row],[BAS 1 Team]],Staff_Info[],4,0),"")</f>
        <v>10</v>
      </c>
      <c r="AN7" s="22">
        <f>IFERROR(VLOOKUP(Costing[[#This Row],[BAS 1 Frequency]],Frequency[],2,0),"")</f>
        <v>0.33333333333333331</v>
      </c>
      <c r="AO7" s="55">
        <f>IFERROR(Costing[[#This Row],[BAS 1 Hours/Month]]*Costing[[#This Row],[BAS 1 Rate]],0)</f>
        <v>3.333333333333333</v>
      </c>
      <c r="AP7" s="11" t="s">
        <v>180</v>
      </c>
      <c r="AQ7" s="11" t="s">
        <v>117</v>
      </c>
      <c r="AR7" s="11" t="s">
        <v>157</v>
      </c>
      <c r="AS7" s="11">
        <v>15</v>
      </c>
      <c r="AT7" s="22">
        <f>IFERROR(Costing[[#This Row],[Minutes/BAS 2]]*Costing[[#This Row],[BAS 2 Factor]]/60,"")</f>
        <v>8.3333333333333329E-2</v>
      </c>
      <c r="AU7" s="23">
        <f>IFERROR(VLOOKUP(Costing[[#This Row],[BAS 2 Team]],Staff_Info[],4,0),"")</f>
        <v>30</v>
      </c>
      <c r="AV7" s="22">
        <f>IFERROR(VLOOKUP(Costing[[#This Row],[BAS 2 Frequency]],Frequency[],2,0),"")</f>
        <v>0.33333333333333331</v>
      </c>
      <c r="AW7" s="55">
        <f>IFERROR(Costing[[#This Row],[BAS 2 Hours/Month]]*Costing[[#This Row],[BAS 2 Rate]],0)</f>
        <v>2.5</v>
      </c>
      <c r="AX7" s="11"/>
      <c r="AY7" s="11"/>
      <c r="AZ7" s="11"/>
      <c r="BA7" s="11"/>
      <c r="BB7" s="22" t="str">
        <f>IFERROR(Costing[[#This Row],[Minutes/IAS]]*Costing[[#This Row],[IAS Factor]]/60,"")</f>
        <v/>
      </c>
      <c r="BC7" s="23" t="str">
        <f>IFERROR(VLOOKUP(Costing[[#This Row],[IAS Team]],Staff_Info[],4,0),"")</f>
        <v/>
      </c>
      <c r="BD7" s="22" t="str">
        <f>IFERROR(VLOOKUP(Costing[[#This Row],[IAS Frequency]],Frequency[],2,0),"")</f>
        <v/>
      </c>
      <c r="BE7" s="56">
        <f>IFERROR(Costing[[#This Row],[IAS Hours/Month]]*Costing[[#This Row],[IAS Rate]],0)</f>
        <v>0</v>
      </c>
      <c r="BF7" s="11" t="s">
        <v>182</v>
      </c>
      <c r="BG7" s="11" t="s">
        <v>115</v>
      </c>
      <c r="BH7" s="11">
        <v>60</v>
      </c>
      <c r="BI7" s="23">
        <f>IFERROR(VLOOKUP(Costing[[#This Row],[EOFY Team 1]],Staff_Info[],4,0),"")</f>
        <v>10</v>
      </c>
      <c r="BJ7" s="57">
        <f>Costing[[#This Row],[Time Min 1]]/12</f>
        <v>5</v>
      </c>
      <c r="BK7" s="11" t="s">
        <v>119</v>
      </c>
      <c r="BL7" s="11">
        <v>30</v>
      </c>
      <c r="BM7" s="23">
        <f>IFERROR(VLOOKUP(Costing[[#This Row],[EOFY Team 2]],Staff_Info[],4,0),"")</f>
        <v>50</v>
      </c>
      <c r="BN7" s="57">
        <f>Costing[[#This Row],[Time Min 2]]/12</f>
        <v>2.5</v>
      </c>
      <c r="BO7" s="55">
        <f>IFERROR((Costing[[#This Row],[EOFY 1 Min/Month]]/60*Costing[[#This Row],[EOFY Team 1 Rate]])+(Costing[[#This Row],[EOFY 2 Min/Month]]/60*Costing[[#This Row],[EOFY Team 2 Rate]]),0)</f>
        <v>2.9166666666666661</v>
      </c>
      <c r="BP7" s="11" t="s">
        <v>163</v>
      </c>
      <c r="BQ7" s="55">
        <f>IFERROR(VLOOKUP(Costing[[#This Row],[Software Name]],Software[],2,0),0)</f>
        <v>36.36</v>
      </c>
      <c r="BR7" s="59" t="s">
        <v>294</v>
      </c>
      <c r="BS7" s="11" t="s">
        <v>119</v>
      </c>
      <c r="BT7" s="60">
        <f>IF(Costing[[#This Row],[Minutes/Activity]]&gt;0,Costing[[#This Row],[Minutes/Activity]]*Costing[[#This Row],[Onboarding Factor]],"")</f>
        <v>714</v>
      </c>
      <c r="BU7" s="60">
        <f>IFERROR(Costing[[#This Row],[Onboarding Minutes]]/60,)</f>
        <v>11.9</v>
      </c>
      <c r="BV7" s="60">
        <f t="shared" si="0"/>
        <v>79.92</v>
      </c>
      <c r="BW7" s="61">
        <f>IFERROR(VLOOKUP(Costing[[#This Row],[Onboarding Team]],Staff_Info[],4,0),"")</f>
        <v>50</v>
      </c>
      <c r="BX7" s="60">
        <f t="shared" si="1"/>
        <v>5.95</v>
      </c>
      <c r="BY7" s="55">
        <f>IFERROR(Costing[[#This Row],[Onboarding Hours]]/Costing[[#This Row],[Client Life Expectancy (Months)]]*Costing[[#This Row],[Onboarding Rate]],0)</f>
        <v>7.444944944944945</v>
      </c>
      <c r="BZ7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48.694944944944943</v>
      </c>
      <c r="CA7" s="27">
        <v>170.7</v>
      </c>
      <c r="CB7" s="63">
        <f>IFERROR((Costing[[#This Row],[Current Sales Price]]-Costing[[#This Row],[Total  Cost excl. Software]])/Costing[[#This Row],[Current Sales Price]],)</f>
        <v>0.71473377302316954</v>
      </c>
      <c r="CC7" s="64">
        <f>Costing[[#This Row],[Total  Cost excl. Software]]/(1-$CC$1)</f>
        <v>139.12841412841414</v>
      </c>
    </row>
    <row r="8" spans="1:81" x14ac:dyDescent="0.2">
      <c r="A8" s="11" t="s">
        <v>283</v>
      </c>
      <c r="B8" s="48"/>
      <c r="C8" s="17"/>
      <c r="D8" s="17"/>
      <c r="E8" s="17"/>
      <c r="F8" s="21" t="str">
        <f>IFERROR(Costing[[#This Row],[Minutes/Pay Run]]*Costing[[#This Row],[Payroll Factor]]/60,"")</f>
        <v/>
      </c>
      <c r="G8" s="54" t="str">
        <f>IFERROR(VLOOKUP(Costing[[#This Row],[Payroll Team]],Staff_Info[],4,0),"")</f>
        <v/>
      </c>
      <c r="H8" s="21" t="str">
        <f>IFERROR(VLOOKUP(Costing[[#This Row],[Payroll Frequency]],Frequency[],2,0),"")</f>
        <v/>
      </c>
      <c r="I8" s="55">
        <f>IFERROR(Costing[[#This Row],[Payroll Hours/Month]]*Costing[[#This Row],[Payroll Rate]],0)</f>
        <v>0</v>
      </c>
      <c r="J8" s="54"/>
      <c r="K8" s="11"/>
      <c r="L8" s="11"/>
      <c r="M8" s="11"/>
      <c r="N8" s="22" t="str">
        <f>IFERROR(Costing[[#This Row],[Minutes/Super]]*Costing[[#This Row],[Super Factor]]/60,"")</f>
        <v/>
      </c>
      <c r="O8" s="23" t="str">
        <f>IFERROR(VLOOKUP(Costing[[#This Row],[Super Team]],Staff_Info[],4,0),"")</f>
        <v/>
      </c>
      <c r="P8" s="22" t="str">
        <f>IFERROR(VLOOKUP(Costing[[#This Row],[Super Frequency]],Frequency[],2,0),"")</f>
        <v/>
      </c>
      <c r="Q8" s="55">
        <f>IFERROR(Costing[[#This Row],[Super Hours/Month]]*Costing[[#This Row],[Super Rate]],0)</f>
        <v>0</v>
      </c>
      <c r="R8" s="17"/>
      <c r="S8" s="11"/>
      <c r="T8" s="11"/>
      <c r="U8" s="11"/>
      <c r="V8" s="22" t="str">
        <f>IFERROR(Costing[[#This Row],[Minutes/Activity]]*Costing[[#This Row],[Bookkeeping Factor]]/60,"")</f>
        <v/>
      </c>
      <c r="W8" s="23" t="str">
        <f>IFERROR(VLOOKUP(Costing[[#This Row],[Bookkeeping Team]],Staff_Info[],4,0),"")</f>
        <v/>
      </c>
      <c r="X8" s="22" t="str">
        <f>IFERROR(VLOOKUP(Costing[[#This Row],[Bookkeeping Frequency]],Frequency[],2,0),"")</f>
        <v/>
      </c>
      <c r="Y8" s="55">
        <f>IFERROR(Costing[[#This Row],[Bookkeeping Hours/Month]]*Costing[[#This Row],[Bookkeeping Rate]],0)</f>
        <v>0</v>
      </c>
      <c r="Z8" s="17"/>
      <c r="AA8" s="11"/>
      <c r="AB8" s="11"/>
      <c r="AC8" s="11"/>
      <c r="AD8" s="22" t="str">
        <f>IFERROR(Costing[[#This Row],[Minutes/Report]]*Costing[[#This Row],[Reporting Factor]]/60,"")</f>
        <v/>
      </c>
      <c r="AE8" s="23" t="str">
        <f>IFERROR(VLOOKUP(Costing[[#This Row],[Reporting Team]],Staff_Info[],4,0),"")</f>
        <v/>
      </c>
      <c r="AF8" s="22" t="str">
        <f>IFERROR(VLOOKUP(Costing[[#This Row],[Reporting Frequency]],Frequency[],2,0),"")</f>
        <v/>
      </c>
      <c r="AG8" s="55">
        <f>IFERROR(Costing[[#This Row],[Reporting Hours/Month]]*Costing[[#This Row],[Reporting Rate]],0)</f>
        <v>0</v>
      </c>
      <c r="AH8" s="17" t="s">
        <v>179</v>
      </c>
      <c r="AI8" s="11" t="s">
        <v>119</v>
      </c>
      <c r="AJ8" s="11" t="s">
        <v>157</v>
      </c>
      <c r="AK8" s="11">
        <v>120</v>
      </c>
      <c r="AL8" s="22">
        <f>IFERROR(Costing[[#This Row],[Minutes/BAS 1]]*Costing[[#This Row],[BAS 1 Factor]]/60,"")</f>
        <v>0.66666666666666663</v>
      </c>
      <c r="AM8" s="23">
        <f>IFERROR(VLOOKUP(Costing[[#This Row],[BAS 1 Team]],Staff_Info[],4,0),"")</f>
        <v>50</v>
      </c>
      <c r="AN8" s="22">
        <f>IFERROR(VLOOKUP(Costing[[#This Row],[BAS 1 Frequency]],Frequency[],2,0),"")</f>
        <v>0.33333333333333331</v>
      </c>
      <c r="AO8" s="55">
        <f>IFERROR(Costing[[#This Row],[BAS 1 Hours/Month]]*Costing[[#This Row],[BAS 1 Rate]],0)</f>
        <v>33.333333333333329</v>
      </c>
      <c r="AP8" s="17" t="s">
        <v>180</v>
      </c>
      <c r="AQ8" s="11" t="s">
        <v>117</v>
      </c>
      <c r="AR8" s="11" t="s">
        <v>157</v>
      </c>
      <c r="AS8" s="11">
        <v>15</v>
      </c>
      <c r="AT8" s="22">
        <f>IFERROR(Costing[[#This Row],[Minutes/BAS 2]]*Costing[[#This Row],[BAS 2 Factor]]/60,"")</f>
        <v>8.3333333333333329E-2</v>
      </c>
      <c r="AU8" s="23">
        <f>IFERROR(VLOOKUP(Costing[[#This Row],[BAS 2 Team]],Staff_Info[],4,0),"")</f>
        <v>30</v>
      </c>
      <c r="AV8" s="22">
        <f>IFERROR(VLOOKUP(Costing[[#This Row],[BAS 2 Frequency]],Frequency[],2,0),"")</f>
        <v>0.33333333333333331</v>
      </c>
      <c r="AW8" s="55">
        <f>IFERROR(Costing[[#This Row],[BAS 2 Hours/Month]]*Costing[[#This Row],[BAS 2 Rate]],0)</f>
        <v>2.5</v>
      </c>
      <c r="AX8" s="17" t="s">
        <v>181</v>
      </c>
      <c r="AY8" s="11" t="s">
        <v>117</v>
      </c>
      <c r="AZ8" s="11" t="s">
        <v>183</v>
      </c>
      <c r="BA8" s="11">
        <v>30</v>
      </c>
      <c r="BB8" s="22">
        <f>IFERROR(Costing[[#This Row],[Minutes/IAS]]*Costing[[#This Row],[IAS Factor]]/60,"")</f>
        <v>0.5</v>
      </c>
      <c r="BC8" s="23">
        <f>IFERROR(VLOOKUP(Costing[[#This Row],[IAS Team]],Staff_Info[],4,0),"")</f>
        <v>30</v>
      </c>
      <c r="BD8" s="22">
        <f>IFERROR(VLOOKUP(Costing[[#This Row],[IAS Frequency]],Frequency[],2,0),"")</f>
        <v>1</v>
      </c>
      <c r="BE8" s="56">
        <f>IFERROR(Costing[[#This Row],[IAS Hours/Month]]*Costing[[#This Row],[IAS Rate]],0)</f>
        <v>15</v>
      </c>
      <c r="BF8" s="17"/>
      <c r="BG8" s="11"/>
      <c r="BH8" s="11"/>
      <c r="BI8" s="23" t="str">
        <f>IFERROR(VLOOKUP(Costing[[#This Row],[EOFY Team 1]],Staff_Info[],4,0),"")</f>
        <v/>
      </c>
      <c r="BJ8" s="57">
        <f>Costing[[#This Row],[Time Min 1]]/12</f>
        <v>0</v>
      </c>
      <c r="BK8" s="11"/>
      <c r="BL8" s="11"/>
      <c r="BM8" s="23" t="str">
        <f>IFERROR(VLOOKUP(Costing[[#This Row],[EOFY Team 2]],Staff_Info[],4,0),"")</f>
        <v/>
      </c>
      <c r="BN8" s="57">
        <f>Costing[[#This Row],[Time Min 2]]/12</f>
        <v>0</v>
      </c>
      <c r="BO8" s="55">
        <f>IFERROR((Costing[[#This Row],[EOFY 1 Min/Month]]/60*Costing[[#This Row],[EOFY Team 1 Rate]])+(Costing[[#This Row],[EOFY 2 Min/Month]]/60*Costing[[#This Row],[EOFY Team 2 Rate]]),0)</f>
        <v>0</v>
      </c>
      <c r="BP8" s="17"/>
      <c r="BQ8" s="55">
        <f>IFERROR(VLOOKUP(Costing[[#This Row],[Software Name]],Software[],2,0),0)</f>
        <v>0</v>
      </c>
      <c r="BR8" s="59"/>
      <c r="BS8" s="11"/>
      <c r="BT8" s="60" t="str">
        <f>IF(Costing[[#This Row],[Minutes/Activity]]&gt;0,Costing[[#This Row],[Minutes/Activity]]*Costing[[#This Row],[Onboarding Factor]],"")</f>
        <v/>
      </c>
      <c r="BU8" s="60">
        <f>IFERROR(Costing[[#This Row],[Onboarding Minutes]]/60,)</f>
        <v>0</v>
      </c>
      <c r="BV8" s="60">
        <f t="shared" si="0"/>
        <v>79.92</v>
      </c>
      <c r="BW8" s="61" t="str">
        <f>IFERROR(VLOOKUP(Costing[[#This Row],[Onboarding Team]],Staff_Info[],4,0),"")</f>
        <v/>
      </c>
      <c r="BX8" s="60">
        <f t="shared" si="1"/>
        <v>5.95</v>
      </c>
      <c r="BY8" s="55">
        <f>IFERROR(Costing[[#This Row],[Onboarding Hours]]/Costing[[#This Row],[Client Life Expectancy (Months)]]*Costing[[#This Row],[Onboarding Rate]],0)</f>
        <v>0</v>
      </c>
      <c r="BZ8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50.833333333333329</v>
      </c>
      <c r="CA8" s="27"/>
      <c r="CB8" s="63">
        <f>IFERROR((Costing[[#This Row],[Current Sales Price]]-Costing[[#This Row],[Total  Cost excl. Software]])/Costing[[#This Row],[Current Sales Price]],)</f>
        <v>0</v>
      </c>
      <c r="CC8" s="64">
        <f>Costing[[#This Row],[Total  Cost excl. Software]]/(1-$CC$1)</f>
        <v>145.23809523809524</v>
      </c>
    </row>
    <row r="9" spans="1:81" x14ac:dyDescent="0.2">
      <c r="A9" s="11" t="s">
        <v>8</v>
      </c>
      <c r="B9" s="48"/>
      <c r="C9" s="17"/>
      <c r="D9" s="17"/>
      <c r="E9" s="17"/>
      <c r="F9" s="21" t="str">
        <f>IFERROR(Costing[[#This Row],[Minutes/Pay Run]]*Costing[[#This Row],[Payroll Factor]]/60,"")</f>
        <v/>
      </c>
      <c r="G9" s="54" t="str">
        <f>IFERROR(VLOOKUP(Costing[[#This Row],[Payroll Team]],Staff_Info[],4,0),"")</f>
        <v/>
      </c>
      <c r="H9" s="21" t="str">
        <f>IFERROR(VLOOKUP(Costing[[#This Row],[Payroll Frequency]],Frequency[],2,0),"")</f>
        <v/>
      </c>
      <c r="I9" s="55">
        <f>IFERROR(Costing[[#This Row],[Payroll Hours/Month]]*Costing[[#This Row],[Payroll Rate]],0)</f>
        <v>0</v>
      </c>
      <c r="J9" s="54"/>
      <c r="K9" s="11"/>
      <c r="L9" s="11"/>
      <c r="M9" s="11"/>
      <c r="N9" s="22" t="str">
        <f>IFERROR(Costing[[#This Row],[Minutes/Super]]*Costing[[#This Row],[Super Factor]]/60,"")</f>
        <v/>
      </c>
      <c r="O9" s="23" t="str">
        <f>IFERROR(VLOOKUP(Costing[[#This Row],[Super Team]],Staff_Info[],4,0),"")</f>
        <v/>
      </c>
      <c r="P9" s="22" t="str">
        <f>IFERROR(VLOOKUP(Costing[[#This Row],[Super Frequency]],Frequency[],2,0),"")</f>
        <v/>
      </c>
      <c r="Q9" s="55">
        <f>IFERROR(Costing[[#This Row],[Super Hours/Month]]*Costing[[#This Row],[Super Rate]],0)</f>
        <v>0</v>
      </c>
      <c r="R9" s="11" t="s">
        <v>177</v>
      </c>
      <c r="S9" s="11" t="s">
        <v>116</v>
      </c>
      <c r="T9" s="11" t="s">
        <v>183</v>
      </c>
      <c r="U9" s="11">
        <v>621</v>
      </c>
      <c r="V9" s="22">
        <f>IFERROR(Costing[[#This Row],[Minutes/Activity]]*Costing[[#This Row],[Bookkeeping Factor]]/60,"")</f>
        <v>10.35</v>
      </c>
      <c r="W9" s="23">
        <f>IFERROR(VLOOKUP(Costing[[#This Row],[Bookkeeping Team]],Staff_Info[],4,0),"")</f>
        <v>10</v>
      </c>
      <c r="X9" s="22">
        <f>IFERROR(VLOOKUP(Costing[[#This Row],[Bookkeeping Frequency]],Frequency[],2,0),"")</f>
        <v>1</v>
      </c>
      <c r="Y9" s="55">
        <f>IFERROR(Costing[[#This Row],[Bookkeeping Hours/Month]]*Costing[[#This Row],[Bookkeeping Rate]],0)</f>
        <v>103.5</v>
      </c>
      <c r="Z9" s="11" t="s">
        <v>178</v>
      </c>
      <c r="AA9" s="11" t="s">
        <v>126</v>
      </c>
      <c r="AB9" s="11" t="s">
        <v>183</v>
      </c>
      <c r="AC9" s="11">
        <v>5</v>
      </c>
      <c r="AD9" s="22">
        <f>IFERROR(Costing[[#This Row],[Minutes/Report]]*Costing[[#This Row],[Reporting Factor]]/60,"")</f>
        <v>8.3333333333333329E-2</v>
      </c>
      <c r="AE9" s="23">
        <f>IFERROR(VLOOKUP(Costing[[#This Row],[Reporting Team]],Staff_Info[],4,0),"")</f>
        <v>50</v>
      </c>
      <c r="AF9" s="22">
        <f>IFERROR(VLOOKUP(Costing[[#This Row],[Reporting Frequency]],Frequency[],2,0),"")</f>
        <v>1</v>
      </c>
      <c r="AG9" s="55">
        <f>IFERROR(Costing[[#This Row],[Reporting Hours/Month]]*Costing[[#This Row],[Reporting Rate]],0)</f>
        <v>4.1666666666666661</v>
      </c>
      <c r="AH9" s="11"/>
      <c r="AI9" s="11"/>
      <c r="AJ9" s="11"/>
      <c r="AK9" s="11"/>
      <c r="AL9" s="22" t="str">
        <f>IFERROR(Costing[[#This Row],[Minutes/BAS 1]]*Costing[[#This Row],[BAS 1 Factor]]/60,"")</f>
        <v/>
      </c>
      <c r="AM9" s="23" t="str">
        <f>IFERROR(VLOOKUP(Costing[[#This Row],[BAS 1 Team]],Staff_Info[],4,0),"")</f>
        <v/>
      </c>
      <c r="AN9" s="22" t="str">
        <f>IFERROR(VLOOKUP(Costing[[#This Row],[BAS 1 Frequency]],Frequency[],2,0),"")</f>
        <v/>
      </c>
      <c r="AO9" s="55">
        <f>IFERROR(Costing[[#This Row],[BAS 1 Hours/Month]]*Costing[[#This Row],[BAS 1 Rate]],0)</f>
        <v>0</v>
      </c>
      <c r="AP9" s="11"/>
      <c r="AQ9" s="11"/>
      <c r="AR9" s="11"/>
      <c r="AS9" s="11"/>
      <c r="AT9" s="22" t="str">
        <f>IFERROR(Costing[[#This Row],[Minutes/BAS 2]]*Costing[[#This Row],[BAS 2 Factor]]/60,"")</f>
        <v/>
      </c>
      <c r="AU9" s="23" t="str">
        <f>IFERROR(VLOOKUP(Costing[[#This Row],[BAS 2 Team]],Staff_Info[],4,0),"")</f>
        <v/>
      </c>
      <c r="AV9" s="22" t="str">
        <f>IFERROR(VLOOKUP(Costing[[#This Row],[BAS 2 Frequency]],Frequency[],2,0),"")</f>
        <v/>
      </c>
      <c r="AW9" s="55">
        <f>IFERROR(Costing[[#This Row],[BAS 2 Hours/Month]]*Costing[[#This Row],[BAS 2 Rate]],0)</f>
        <v>0</v>
      </c>
      <c r="AX9" s="11"/>
      <c r="AY9" s="11"/>
      <c r="AZ9" s="11"/>
      <c r="BA9" s="11"/>
      <c r="BB9" s="22" t="str">
        <f>IFERROR(Costing[[#This Row],[Minutes/IAS]]*Costing[[#This Row],[IAS Factor]]/60,"")</f>
        <v/>
      </c>
      <c r="BC9" s="23" t="str">
        <f>IFERROR(VLOOKUP(Costing[[#This Row],[IAS Team]],Staff_Info[],4,0),"")</f>
        <v/>
      </c>
      <c r="BD9" s="22" t="str">
        <f>IFERROR(VLOOKUP(Costing[[#This Row],[IAS Frequency]],Frequency[],2,0),"")</f>
        <v/>
      </c>
      <c r="BE9" s="56">
        <f>IFERROR(Costing[[#This Row],[IAS Hours/Month]]*Costing[[#This Row],[IAS Rate]],0)</f>
        <v>0</v>
      </c>
      <c r="BF9" s="11"/>
      <c r="BG9" s="11"/>
      <c r="BH9" s="11"/>
      <c r="BI9" s="23" t="str">
        <f>IFERROR(VLOOKUP(Costing[[#This Row],[EOFY Team 1]],Staff_Info[],4,0),"")</f>
        <v/>
      </c>
      <c r="BJ9" s="57">
        <f>Costing[[#This Row],[Time Min 1]]/12</f>
        <v>0</v>
      </c>
      <c r="BK9" s="11"/>
      <c r="BL9" s="11"/>
      <c r="BM9" s="23" t="str">
        <f>IFERROR(VLOOKUP(Costing[[#This Row],[EOFY Team 2]],Staff_Info[],4,0),"")</f>
        <v/>
      </c>
      <c r="BN9" s="57">
        <f>Costing[[#This Row],[Time Min 2]]/12</f>
        <v>0</v>
      </c>
      <c r="BO9" s="55">
        <f>IFERROR((Costing[[#This Row],[EOFY 1 Min/Month]]/60*Costing[[#This Row],[EOFY Team 1 Rate]])+(Costing[[#This Row],[EOFY 2 Min/Month]]/60*Costing[[#This Row],[EOFY Team 2 Rate]]),0)</f>
        <v>0</v>
      </c>
      <c r="BP9" s="11"/>
      <c r="BQ9" s="55">
        <f>IFERROR(VLOOKUP(Costing[[#This Row],[Software Name]],Software[],2,0),0)</f>
        <v>0</v>
      </c>
      <c r="BR9" s="59" t="s">
        <v>294</v>
      </c>
      <c r="BS9" s="11" t="s">
        <v>126</v>
      </c>
      <c r="BT9" s="60">
        <f>IF(Costing[[#This Row],[Minutes/Activity]]&gt;0,Costing[[#This Row],[Minutes/Activity]]*Costing[[#This Row],[Onboarding Factor]],"")</f>
        <v>3694.9500000000003</v>
      </c>
      <c r="BU9" s="60">
        <f>IFERROR(Costing[[#This Row],[Onboarding Minutes]]/60,)</f>
        <v>61.582500000000003</v>
      </c>
      <c r="BV9" s="60">
        <f t="shared" si="0"/>
        <v>79.92</v>
      </c>
      <c r="BW9" s="61">
        <f>IFERROR(VLOOKUP(Costing[[#This Row],[Onboarding Team]],Staff_Info[],4,0),"")</f>
        <v>50</v>
      </c>
      <c r="BX9" s="60">
        <f t="shared" si="1"/>
        <v>5.95</v>
      </c>
      <c r="BY9" s="55">
        <f>IFERROR(Costing[[#This Row],[Onboarding Hours]]/Costing[[#This Row],[Client Life Expectancy (Months)]]*Costing[[#This Row],[Onboarding Rate]],0)</f>
        <v>38.527590090090094</v>
      </c>
      <c r="BZ9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146.19425675675677</v>
      </c>
      <c r="CA9" s="27">
        <v>307.8</v>
      </c>
      <c r="CB9" s="63">
        <f>IFERROR((Costing[[#This Row],[Current Sales Price]]-Costing[[#This Row],[Total  Cost excl. Software]])/Costing[[#This Row],[Current Sales Price]],)</f>
        <v>0.52503490332437697</v>
      </c>
      <c r="CC9" s="64">
        <f>Costing[[#This Row],[Total  Cost excl. Software]]/(1-$CC$1)</f>
        <v>417.69787644787652</v>
      </c>
    </row>
    <row r="10" spans="1:81" x14ac:dyDescent="0.2">
      <c r="A10" s="11" t="s">
        <v>9</v>
      </c>
      <c r="B10" s="48" t="s">
        <v>145</v>
      </c>
      <c r="C10" s="17" t="s">
        <v>119</v>
      </c>
      <c r="D10" s="17" t="s">
        <v>154</v>
      </c>
      <c r="E10" s="17">
        <v>30</v>
      </c>
      <c r="F10" s="21">
        <f>IFERROR(Costing[[#This Row],[Minutes/Pay Run]]*Costing[[#This Row],[Payroll Factor]]/60,"")</f>
        <v>2.1666666666666665</v>
      </c>
      <c r="G10" s="54">
        <f>IFERROR(VLOOKUP(Costing[[#This Row],[Payroll Team]],Staff_Info[],4,0),"")</f>
        <v>50</v>
      </c>
      <c r="H10" s="21">
        <f>IFERROR(VLOOKUP(Costing[[#This Row],[Payroll Frequency]],Frequency[],2,0),"")</f>
        <v>4.333333333333333</v>
      </c>
      <c r="I10" s="55">
        <f>IFERROR(Costing[[#This Row],[Payroll Hours/Month]]*Costing[[#This Row],[Payroll Rate]],0)</f>
        <v>108.33333333333333</v>
      </c>
      <c r="J10" s="54" t="s">
        <v>176</v>
      </c>
      <c r="K10" s="11" t="s">
        <v>118</v>
      </c>
      <c r="L10" s="11" t="s">
        <v>183</v>
      </c>
      <c r="M10" s="11">
        <v>10</v>
      </c>
      <c r="N10" s="22">
        <f>IFERROR(Costing[[#This Row],[Minutes/Super]]*Costing[[#This Row],[Super Factor]]/60,"")</f>
        <v>0.16666666666666666</v>
      </c>
      <c r="O10" s="23">
        <f>IFERROR(VLOOKUP(Costing[[#This Row],[Super Team]],Staff_Info[],4,0),"")</f>
        <v>10</v>
      </c>
      <c r="P10" s="22">
        <f>IFERROR(VLOOKUP(Costing[[#This Row],[Super Frequency]],Frequency[],2,0),"")</f>
        <v>1</v>
      </c>
      <c r="Q10" s="55">
        <f>IFERROR(Costing[[#This Row],[Super Hours/Month]]*Costing[[#This Row],[Super Rate]],0)</f>
        <v>1.6666666666666665</v>
      </c>
      <c r="R10" s="11" t="s">
        <v>177</v>
      </c>
      <c r="S10" s="11" t="s">
        <v>118</v>
      </c>
      <c r="T10" s="11" t="s">
        <v>183</v>
      </c>
      <c r="U10" s="11">
        <v>180</v>
      </c>
      <c r="V10" s="22">
        <f>IFERROR(Costing[[#This Row],[Minutes/Activity]]*Costing[[#This Row],[Bookkeeping Factor]]/60,"")</f>
        <v>3</v>
      </c>
      <c r="W10" s="23">
        <f>IFERROR(VLOOKUP(Costing[[#This Row],[Bookkeeping Team]],Staff_Info[],4,0),"")</f>
        <v>10</v>
      </c>
      <c r="X10" s="22">
        <f>IFERROR(VLOOKUP(Costing[[#This Row],[Bookkeeping Frequency]],Frequency[],2,0),"")</f>
        <v>1</v>
      </c>
      <c r="Y10" s="55">
        <f>IFERROR(Costing[[#This Row],[Bookkeeping Hours/Month]]*Costing[[#This Row],[Bookkeeping Rate]],0)</f>
        <v>30</v>
      </c>
      <c r="Z10" s="11" t="s">
        <v>178</v>
      </c>
      <c r="AA10" s="11" t="s">
        <v>119</v>
      </c>
      <c r="AB10" s="11" t="s">
        <v>183</v>
      </c>
      <c r="AC10" s="11">
        <v>20</v>
      </c>
      <c r="AD10" s="22">
        <f>IFERROR(Costing[[#This Row],[Minutes/Report]]*Costing[[#This Row],[Reporting Factor]]/60,"")</f>
        <v>0.33333333333333331</v>
      </c>
      <c r="AE10" s="23">
        <f>IFERROR(VLOOKUP(Costing[[#This Row],[Reporting Team]],Staff_Info[],4,0),"")</f>
        <v>50</v>
      </c>
      <c r="AF10" s="22">
        <f>IFERROR(VLOOKUP(Costing[[#This Row],[Reporting Frequency]],Frequency[],2,0),"")</f>
        <v>1</v>
      </c>
      <c r="AG10" s="55">
        <f>IFERROR(Costing[[#This Row],[Reporting Hours/Month]]*Costing[[#This Row],[Reporting Rate]],0)</f>
        <v>16.666666666666664</v>
      </c>
      <c r="AH10" s="11" t="s">
        <v>179</v>
      </c>
      <c r="AI10" s="11" t="s">
        <v>118</v>
      </c>
      <c r="AJ10" s="11" t="s">
        <v>157</v>
      </c>
      <c r="AK10" s="11">
        <v>60</v>
      </c>
      <c r="AL10" s="22">
        <f>IFERROR(Costing[[#This Row],[Minutes/BAS 1]]*Costing[[#This Row],[BAS 1 Factor]]/60,"")</f>
        <v>0.33333333333333331</v>
      </c>
      <c r="AM10" s="23">
        <f>IFERROR(VLOOKUP(Costing[[#This Row],[BAS 1 Team]],Staff_Info[],4,0),"")</f>
        <v>10</v>
      </c>
      <c r="AN10" s="22">
        <f>IFERROR(VLOOKUP(Costing[[#This Row],[BAS 1 Frequency]],Frequency[],2,0),"")</f>
        <v>0.33333333333333331</v>
      </c>
      <c r="AO10" s="55">
        <f>IFERROR(Costing[[#This Row],[BAS 1 Hours/Month]]*Costing[[#This Row],[BAS 1 Rate]],0)</f>
        <v>3.333333333333333</v>
      </c>
      <c r="AP10" s="11" t="s">
        <v>180</v>
      </c>
      <c r="AQ10" s="11" t="s">
        <v>117</v>
      </c>
      <c r="AR10" s="11" t="s">
        <v>157</v>
      </c>
      <c r="AS10" s="11">
        <v>15</v>
      </c>
      <c r="AT10" s="22">
        <f>IFERROR(Costing[[#This Row],[Minutes/BAS 2]]*Costing[[#This Row],[BAS 2 Factor]]/60,"")</f>
        <v>8.3333333333333329E-2</v>
      </c>
      <c r="AU10" s="23">
        <f>IFERROR(VLOOKUP(Costing[[#This Row],[BAS 2 Team]],Staff_Info[],4,0),"")</f>
        <v>30</v>
      </c>
      <c r="AV10" s="22">
        <f>IFERROR(VLOOKUP(Costing[[#This Row],[BAS 2 Frequency]],Frequency[],2,0),"")</f>
        <v>0.33333333333333331</v>
      </c>
      <c r="AW10" s="55">
        <f>IFERROR(Costing[[#This Row],[BAS 2 Hours/Month]]*Costing[[#This Row],[BAS 2 Rate]],0)</f>
        <v>2.5</v>
      </c>
      <c r="AX10" s="11" t="s">
        <v>181</v>
      </c>
      <c r="AY10" s="11" t="s">
        <v>117</v>
      </c>
      <c r="AZ10" s="11" t="s">
        <v>183</v>
      </c>
      <c r="BA10" s="11">
        <v>30</v>
      </c>
      <c r="BB10" s="22">
        <f>IFERROR(Costing[[#This Row],[Minutes/IAS]]*Costing[[#This Row],[IAS Factor]]/60,"")</f>
        <v>0.5</v>
      </c>
      <c r="BC10" s="23">
        <f>IFERROR(VLOOKUP(Costing[[#This Row],[IAS Team]],Staff_Info[],4,0),"")</f>
        <v>30</v>
      </c>
      <c r="BD10" s="22">
        <f>IFERROR(VLOOKUP(Costing[[#This Row],[IAS Frequency]],Frequency[],2,0),"")</f>
        <v>1</v>
      </c>
      <c r="BE10" s="56">
        <f>IFERROR(Costing[[#This Row],[IAS Hours/Month]]*Costing[[#This Row],[IAS Rate]],0)</f>
        <v>15</v>
      </c>
      <c r="BF10" s="11" t="s">
        <v>182</v>
      </c>
      <c r="BG10" s="11" t="s">
        <v>119</v>
      </c>
      <c r="BH10" s="11">
        <v>120</v>
      </c>
      <c r="BI10" s="23">
        <f>IFERROR(VLOOKUP(Costing[[#This Row],[EOFY Team 1]],Staff_Info[],4,0),"")</f>
        <v>50</v>
      </c>
      <c r="BJ10" s="57">
        <f>Costing[[#This Row],[Time Min 1]]/12</f>
        <v>10</v>
      </c>
      <c r="BK10" s="11" t="s">
        <v>118</v>
      </c>
      <c r="BL10" s="11">
        <v>120</v>
      </c>
      <c r="BM10" s="23">
        <f>IFERROR(VLOOKUP(Costing[[#This Row],[EOFY Team 2]],Staff_Info[],4,0),"")</f>
        <v>10</v>
      </c>
      <c r="BN10" s="57">
        <f>Costing[[#This Row],[Time Min 2]]/12</f>
        <v>10</v>
      </c>
      <c r="BO10" s="55">
        <f>IFERROR((Costing[[#This Row],[EOFY 1 Min/Month]]/60*Costing[[#This Row],[EOFY Team 1 Rate]])+(Costing[[#This Row],[EOFY 2 Min/Month]]/60*Costing[[#This Row],[EOFY Team 2 Rate]]),0)</f>
        <v>9.9999999999999982</v>
      </c>
      <c r="BP10" s="11" t="s">
        <v>172</v>
      </c>
      <c r="BQ10" s="55">
        <f>IFERROR(VLOOKUP(Costing[[#This Row],[Software Name]],Software[],2,0),0)</f>
        <v>35.72</v>
      </c>
      <c r="BR10" s="59" t="s">
        <v>294</v>
      </c>
      <c r="BS10" s="11" t="s">
        <v>119</v>
      </c>
      <c r="BT10" s="60">
        <f>IF(Costing[[#This Row],[Minutes/Activity]]&gt;0,Costing[[#This Row],[Minutes/Activity]]*Costing[[#This Row],[Onboarding Factor]],"")</f>
        <v>1071</v>
      </c>
      <c r="BU10" s="60">
        <f>IFERROR(Costing[[#This Row],[Onboarding Minutes]]/60,)</f>
        <v>17.850000000000001</v>
      </c>
      <c r="BV10" s="60">
        <f t="shared" si="0"/>
        <v>79.92</v>
      </c>
      <c r="BW10" s="61">
        <f>IFERROR(VLOOKUP(Costing[[#This Row],[Onboarding Team]],Staff_Info[],4,0),"")</f>
        <v>50</v>
      </c>
      <c r="BX10" s="60">
        <f t="shared" si="1"/>
        <v>5.95</v>
      </c>
      <c r="BY10" s="55">
        <f>IFERROR(Costing[[#This Row],[Onboarding Hours]]/Costing[[#This Row],[Client Life Expectancy (Months)]]*Costing[[#This Row],[Onboarding Rate]],0)</f>
        <v>11.167417417417418</v>
      </c>
      <c r="BZ10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198.66741741741743</v>
      </c>
      <c r="CA10" s="27">
        <v>398</v>
      </c>
      <c r="CB10" s="63">
        <f>IFERROR((Costing[[#This Row],[Current Sales Price]]-Costing[[#This Row],[Total  Cost excl. Software]])/Costing[[#This Row],[Current Sales Price]],)</f>
        <v>0.50083563462960445</v>
      </c>
      <c r="CC10" s="64">
        <f>Costing[[#This Row],[Total  Cost excl. Software]]/(1-$CC$1)</f>
        <v>567.62119262119268</v>
      </c>
    </row>
    <row r="11" spans="1:81" x14ac:dyDescent="0.2">
      <c r="A11" s="11" t="s">
        <v>10</v>
      </c>
      <c r="B11" s="48" t="s">
        <v>145</v>
      </c>
      <c r="C11" s="17" t="s">
        <v>115</v>
      </c>
      <c r="D11" s="17" t="s">
        <v>155</v>
      </c>
      <c r="E11" s="17">
        <v>75</v>
      </c>
      <c r="F11" s="21">
        <f>IFERROR(Costing[[#This Row],[Minutes/Pay Run]]*Costing[[#This Row],[Payroll Factor]]/60,"")</f>
        <v>2.7083333333333335</v>
      </c>
      <c r="G11" s="54">
        <f>IFERROR(VLOOKUP(Costing[[#This Row],[Payroll Team]],Staff_Info[],4,0),"")</f>
        <v>10</v>
      </c>
      <c r="H11" s="21">
        <f>IFERROR(VLOOKUP(Costing[[#This Row],[Payroll Frequency]],Frequency[],2,0),"")</f>
        <v>2.1666666666666665</v>
      </c>
      <c r="I11" s="55">
        <f>IFERROR(Costing[[#This Row],[Payroll Hours/Month]]*Costing[[#This Row],[Payroll Rate]],0)</f>
        <v>27.083333333333336</v>
      </c>
      <c r="J11" s="54" t="s">
        <v>176</v>
      </c>
      <c r="K11" s="11" t="s">
        <v>115</v>
      </c>
      <c r="L11" s="11" t="s">
        <v>183</v>
      </c>
      <c r="M11" s="11">
        <v>15</v>
      </c>
      <c r="N11" s="22">
        <f>IFERROR(Costing[[#This Row],[Minutes/Super]]*Costing[[#This Row],[Super Factor]]/60,"")</f>
        <v>0.25</v>
      </c>
      <c r="O11" s="23">
        <f>IFERROR(VLOOKUP(Costing[[#This Row],[Super Team]],Staff_Info[],4,0),"")</f>
        <v>10</v>
      </c>
      <c r="P11" s="22">
        <f>IFERROR(VLOOKUP(Costing[[#This Row],[Super Frequency]],Frequency[],2,0),"")</f>
        <v>1</v>
      </c>
      <c r="Q11" s="55">
        <f>IFERROR(Costing[[#This Row],[Super Hours/Month]]*Costing[[#This Row],[Super Rate]],0)</f>
        <v>2.5</v>
      </c>
      <c r="R11" s="11" t="s">
        <v>177</v>
      </c>
      <c r="S11" s="11" t="s">
        <v>115</v>
      </c>
      <c r="T11" s="11" t="s">
        <v>183</v>
      </c>
      <c r="U11" s="11">
        <v>180</v>
      </c>
      <c r="V11" s="22">
        <f>IFERROR(Costing[[#This Row],[Minutes/Activity]]*Costing[[#This Row],[Bookkeeping Factor]]/60,"")</f>
        <v>3</v>
      </c>
      <c r="W11" s="23">
        <f>IFERROR(VLOOKUP(Costing[[#This Row],[Bookkeeping Team]],Staff_Info[],4,0),"")</f>
        <v>10</v>
      </c>
      <c r="X11" s="22">
        <f>IFERROR(VLOOKUP(Costing[[#This Row],[Bookkeeping Frequency]],Frequency[],2,0),"")</f>
        <v>1</v>
      </c>
      <c r="Y11" s="55">
        <f>IFERROR(Costing[[#This Row],[Bookkeeping Hours/Month]]*Costing[[#This Row],[Bookkeeping Rate]],0)</f>
        <v>30</v>
      </c>
      <c r="Z11" s="11" t="s">
        <v>178</v>
      </c>
      <c r="AA11" s="11" t="s">
        <v>119</v>
      </c>
      <c r="AB11" s="11" t="s">
        <v>183</v>
      </c>
      <c r="AC11" s="11">
        <v>20</v>
      </c>
      <c r="AD11" s="22">
        <f>IFERROR(Costing[[#This Row],[Minutes/Report]]*Costing[[#This Row],[Reporting Factor]]/60,"")</f>
        <v>0.33333333333333331</v>
      </c>
      <c r="AE11" s="23">
        <f>IFERROR(VLOOKUP(Costing[[#This Row],[Reporting Team]],Staff_Info[],4,0),"")</f>
        <v>50</v>
      </c>
      <c r="AF11" s="22">
        <f>IFERROR(VLOOKUP(Costing[[#This Row],[Reporting Frequency]],Frequency[],2,0),"")</f>
        <v>1</v>
      </c>
      <c r="AG11" s="55">
        <f>IFERROR(Costing[[#This Row],[Reporting Hours/Month]]*Costing[[#This Row],[Reporting Rate]],0)</f>
        <v>16.666666666666664</v>
      </c>
      <c r="AH11" s="11" t="s">
        <v>179</v>
      </c>
      <c r="AI11" s="11" t="s">
        <v>115</v>
      </c>
      <c r="AJ11" s="11" t="s">
        <v>157</v>
      </c>
      <c r="AK11" s="11">
        <v>60</v>
      </c>
      <c r="AL11" s="22">
        <f>IFERROR(Costing[[#This Row],[Minutes/BAS 1]]*Costing[[#This Row],[BAS 1 Factor]]/60,"")</f>
        <v>0.33333333333333331</v>
      </c>
      <c r="AM11" s="23">
        <f>IFERROR(VLOOKUP(Costing[[#This Row],[BAS 1 Team]],Staff_Info[],4,0),"")</f>
        <v>10</v>
      </c>
      <c r="AN11" s="22">
        <f>IFERROR(VLOOKUP(Costing[[#This Row],[BAS 1 Frequency]],Frequency[],2,0),"")</f>
        <v>0.33333333333333331</v>
      </c>
      <c r="AO11" s="55">
        <f>IFERROR(Costing[[#This Row],[BAS 1 Hours/Month]]*Costing[[#This Row],[BAS 1 Rate]],0)</f>
        <v>3.333333333333333</v>
      </c>
      <c r="AP11" s="11" t="s">
        <v>180</v>
      </c>
      <c r="AQ11" s="11" t="s">
        <v>117</v>
      </c>
      <c r="AR11" s="11" t="s">
        <v>157</v>
      </c>
      <c r="AS11" s="11">
        <v>15</v>
      </c>
      <c r="AT11" s="22">
        <f>IFERROR(Costing[[#This Row],[Minutes/BAS 2]]*Costing[[#This Row],[BAS 2 Factor]]/60,"")</f>
        <v>8.3333333333333329E-2</v>
      </c>
      <c r="AU11" s="23">
        <f>IFERROR(VLOOKUP(Costing[[#This Row],[BAS 2 Team]],Staff_Info[],4,0),"")</f>
        <v>30</v>
      </c>
      <c r="AV11" s="22">
        <f>IFERROR(VLOOKUP(Costing[[#This Row],[BAS 2 Frequency]],Frequency[],2,0),"")</f>
        <v>0.33333333333333331</v>
      </c>
      <c r="AW11" s="55">
        <f>IFERROR(Costing[[#This Row],[BAS 2 Hours/Month]]*Costing[[#This Row],[BAS 2 Rate]],0)</f>
        <v>2.5</v>
      </c>
      <c r="AX11" s="11"/>
      <c r="AY11" s="11"/>
      <c r="AZ11" s="11"/>
      <c r="BA11" s="11"/>
      <c r="BB11" s="22" t="str">
        <f>IFERROR(Costing[[#This Row],[Minutes/IAS]]*Costing[[#This Row],[IAS Factor]]/60,"")</f>
        <v/>
      </c>
      <c r="BC11" s="23" t="str">
        <f>IFERROR(VLOOKUP(Costing[[#This Row],[IAS Team]],Staff_Info[],4,0),"")</f>
        <v/>
      </c>
      <c r="BD11" s="22" t="str">
        <f>IFERROR(VLOOKUP(Costing[[#This Row],[IAS Frequency]],Frequency[],2,0),"")</f>
        <v/>
      </c>
      <c r="BE11" s="56">
        <f>IFERROR(Costing[[#This Row],[IAS Hours/Month]]*Costing[[#This Row],[IAS Rate]],0)</f>
        <v>0</v>
      </c>
      <c r="BF11" s="11" t="s">
        <v>182</v>
      </c>
      <c r="BG11" s="11" t="s">
        <v>115</v>
      </c>
      <c r="BH11" s="11">
        <v>120</v>
      </c>
      <c r="BI11" s="23">
        <f>IFERROR(VLOOKUP(Costing[[#This Row],[EOFY Team 1]],Staff_Info[],4,0),"")</f>
        <v>10</v>
      </c>
      <c r="BJ11" s="57">
        <f>Costing[[#This Row],[Time Min 1]]/12</f>
        <v>10</v>
      </c>
      <c r="BK11" s="11" t="s">
        <v>119</v>
      </c>
      <c r="BL11" s="11">
        <v>120</v>
      </c>
      <c r="BM11" s="23">
        <f>IFERROR(VLOOKUP(Costing[[#This Row],[EOFY Team 2]],Staff_Info[],4,0),"")</f>
        <v>50</v>
      </c>
      <c r="BN11" s="57">
        <f>Costing[[#This Row],[Time Min 2]]/12</f>
        <v>10</v>
      </c>
      <c r="BO11" s="55">
        <f>IFERROR((Costing[[#This Row],[EOFY 1 Min/Month]]/60*Costing[[#This Row],[EOFY Team 1 Rate]])+(Costing[[#This Row],[EOFY 2 Min/Month]]/60*Costing[[#This Row],[EOFY Team 2 Rate]]),0)</f>
        <v>9.9999999999999982</v>
      </c>
      <c r="BP11" s="11" t="s">
        <v>165</v>
      </c>
      <c r="BQ11" s="55">
        <f>IFERROR(VLOOKUP(Costing[[#This Row],[Software Name]],Software[],2,0),0)</f>
        <v>54.4</v>
      </c>
      <c r="BR11" s="59" t="s">
        <v>294</v>
      </c>
      <c r="BS11" s="11" t="s">
        <v>119</v>
      </c>
      <c r="BT11" s="60">
        <f>IF(Costing[[#This Row],[Minutes/Activity]]&gt;0,Costing[[#This Row],[Minutes/Activity]]*Costing[[#This Row],[Onboarding Factor]],"")</f>
        <v>1071</v>
      </c>
      <c r="BU11" s="60">
        <f>IFERROR(Costing[[#This Row],[Onboarding Minutes]]/60,)</f>
        <v>17.850000000000001</v>
      </c>
      <c r="BV11" s="60">
        <f t="shared" si="0"/>
        <v>79.92</v>
      </c>
      <c r="BW11" s="61">
        <f>IFERROR(VLOOKUP(Costing[[#This Row],[Onboarding Team]],Staff_Info[],4,0),"")</f>
        <v>50</v>
      </c>
      <c r="BX11" s="60">
        <f t="shared" si="1"/>
        <v>5.95</v>
      </c>
      <c r="BY11" s="55">
        <f>IFERROR(Costing[[#This Row],[Onboarding Hours]]/Costing[[#This Row],[Client Life Expectancy (Months)]]*Costing[[#This Row],[Onboarding Rate]],0)</f>
        <v>11.167417417417418</v>
      </c>
      <c r="BZ11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103.25075075075074</v>
      </c>
      <c r="CA11" s="27">
        <v>345.76</v>
      </c>
      <c r="CB11" s="63">
        <f>IFERROR((Costing[[#This Row],[Current Sales Price]]-Costing[[#This Row],[Total  Cost excl. Software]])/Costing[[#This Row],[Current Sales Price]],)</f>
        <v>0.70138029051726414</v>
      </c>
      <c r="CC11" s="64">
        <f>Costing[[#This Row],[Total  Cost excl. Software]]/(1-$CC$1)</f>
        <v>295.00214500214497</v>
      </c>
    </row>
    <row r="12" spans="1:81" x14ac:dyDescent="0.2">
      <c r="A12" s="11" t="s">
        <v>11</v>
      </c>
      <c r="B12" s="48" t="s">
        <v>145</v>
      </c>
      <c r="C12" s="17" t="s">
        <v>117</v>
      </c>
      <c r="D12" s="17" t="s">
        <v>154</v>
      </c>
      <c r="E12" s="17">
        <v>10</v>
      </c>
      <c r="F12" s="21">
        <f>IFERROR(Costing[[#This Row],[Minutes/Pay Run]]*Costing[[#This Row],[Payroll Factor]]/60,"")</f>
        <v>0.7222222222222221</v>
      </c>
      <c r="G12" s="54">
        <f>IFERROR(VLOOKUP(Costing[[#This Row],[Payroll Team]],Staff_Info[],4,0),"")</f>
        <v>30</v>
      </c>
      <c r="H12" s="21">
        <f>IFERROR(VLOOKUP(Costing[[#This Row],[Payroll Frequency]],Frequency[],2,0),"")</f>
        <v>4.333333333333333</v>
      </c>
      <c r="I12" s="55">
        <f>IFERROR(Costing[[#This Row],[Payroll Hours/Month]]*Costing[[#This Row],[Payroll Rate]],0)</f>
        <v>21.666666666666664</v>
      </c>
      <c r="J12" s="54" t="s">
        <v>176</v>
      </c>
      <c r="K12" s="11" t="s">
        <v>117</v>
      </c>
      <c r="L12" s="11" t="s">
        <v>157</v>
      </c>
      <c r="M12" s="11">
        <v>15</v>
      </c>
      <c r="N12" s="22">
        <f>IFERROR(Costing[[#This Row],[Minutes/Super]]*Costing[[#This Row],[Super Factor]]/60,"")</f>
        <v>8.3333333333333329E-2</v>
      </c>
      <c r="O12" s="23">
        <f>IFERROR(VLOOKUP(Costing[[#This Row],[Super Team]],Staff_Info[],4,0),"")</f>
        <v>30</v>
      </c>
      <c r="P12" s="22">
        <f>IFERROR(VLOOKUP(Costing[[#This Row],[Super Frequency]],Frequency[],2,0),"")</f>
        <v>0.33333333333333331</v>
      </c>
      <c r="Q12" s="55">
        <f>IFERROR(Costing[[#This Row],[Super Hours/Month]]*Costing[[#This Row],[Super Rate]],0)</f>
        <v>2.5</v>
      </c>
      <c r="R12" s="11" t="s">
        <v>177</v>
      </c>
      <c r="S12" s="11" t="s">
        <v>117</v>
      </c>
      <c r="T12" s="11" t="s">
        <v>183</v>
      </c>
      <c r="U12" s="11">
        <v>30</v>
      </c>
      <c r="V12" s="22">
        <f>IFERROR(Costing[[#This Row],[Minutes/Activity]]*Costing[[#This Row],[Bookkeeping Factor]]/60,"")</f>
        <v>0.5</v>
      </c>
      <c r="W12" s="23">
        <f>IFERROR(VLOOKUP(Costing[[#This Row],[Bookkeeping Team]],Staff_Info[],4,0),"")</f>
        <v>30</v>
      </c>
      <c r="X12" s="22">
        <f>IFERROR(VLOOKUP(Costing[[#This Row],[Bookkeeping Frequency]],Frequency[],2,0),"")</f>
        <v>1</v>
      </c>
      <c r="Y12" s="55">
        <f>IFERROR(Costing[[#This Row],[Bookkeeping Hours/Month]]*Costing[[#This Row],[Bookkeeping Rate]],0)</f>
        <v>15</v>
      </c>
      <c r="Z12" s="11" t="s">
        <v>178</v>
      </c>
      <c r="AA12" s="11" t="s">
        <v>117</v>
      </c>
      <c r="AB12" s="11" t="s">
        <v>183</v>
      </c>
      <c r="AC12" s="11">
        <v>9</v>
      </c>
      <c r="AD12" s="22">
        <f>IFERROR(Costing[[#This Row],[Minutes/Report]]*Costing[[#This Row],[Reporting Factor]]/60,"")</f>
        <v>0.15</v>
      </c>
      <c r="AE12" s="23">
        <f>IFERROR(VLOOKUP(Costing[[#This Row],[Reporting Team]],Staff_Info[],4,0),"")</f>
        <v>30</v>
      </c>
      <c r="AF12" s="22">
        <f>IFERROR(VLOOKUP(Costing[[#This Row],[Reporting Frequency]],Frequency[],2,0),"")</f>
        <v>1</v>
      </c>
      <c r="AG12" s="55">
        <f>IFERROR(Costing[[#This Row],[Reporting Hours/Month]]*Costing[[#This Row],[Reporting Rate]],0)</f>
        <v>4.5</v>
      </c>
      <c r="AH12" s="11" t="s">
        <v>179</v>
      </c>
      <c r="AI12" s="11" t="s">
        <v>117</v>
      </c>
      <c r="AJ12" s="11" t="s">
        <v>157</v>
      </c>
      <c r="AK12" s="11">
        <v>60</v>
      </c>
      <c r="AL12" s="22">
        <f>IFERROR(Costing[[#This Row],[Minutes/BAS 1]]*Costing[[#This Row],[BAS 1 Factor]]/60,"")</f>
        <v>0.33333333333333331</v>
      </c>
      <c r="AM12" s="23">
        <f>IFERROR(VLOOKUP(Costing[[#This Row],[BAS 1 Team]],Staff_Info[],4,0),"")</f>
        <v>30</v>
      </c>
      <c r="AN12" s="22">
        <f>IFERROR(VLOOKUP(Costing[[#This Row],[BAS 1 Frequency]],Frequency[],2,0),"")</f>
        <v>0.33333333333333331</v>
      </c>
      <c r="AO12" s="55">
        <f>IFERROR(Costing[[#This Row],[BAS 1 Hours/Month]]*Costing[[#This Row],[BAS 1 Rate]],0)</f>
        <v>10</v>
      </c>
      <c r="AP12" s="11" t="s">
        <v>180</v>
      </c>
      <c r="AQ12" s="11" t="s">
        <v>117</v>
      </c>
      <c r="AR12" s="11" t="s">
        <v>157</v>
      </c>
      <c r="AS12" s="11">
        <v>15</v>
      </c>
      <c r="AT12" s="22">
        <f>IFERROR(Costing[[#This Row],[Minutes/BAS 2]]*Costing[[#This Row],[BAS 2 Factor]]/60,"")</f>
        <v>8.3333333333333329E-2</v>
      </c>
      <c r="AU12" s="23">
        <f>IFERROR(VLOOKUP(Costing[[#This Row],[BAS 2 Team]],Staff_Info[],4,0),"")</f>
        <v>30</v>
      </c>
      <c r="AV12" s="22">
        <f>IFERROR(VLOOKUP(Costing[[#This Row],[BAS 2 Frequency]],Frequency[],2,0),"")</f>
        <v>0.33333333333333331</v>
      </c>
      <c r="AW12" s="55">
        <f>IFERROR(Costing[[#This Row],[BAS 2 Hours/Month]]*Costing[[#This Row],[BAS 2 Rate]],0)</f>
        <v>2.5</v>
      </c>
      <c r="AX12" s="11"/>
      <c r="AY12" s="11"/>
      <c r="AZ12" s="11"/>
      <c r="BA12" s="11"/>
      <c r="BB12" s="22" t="str">
        <f>IFERROR(Costing[[#This Row],[Minutes/IAS]]*Costing[[#This Row],[IAS Factor]]/60,"")</f>
        <v/>
      </c>
      <c r="BC12" s="23" t="str">
        <f>IFERROR(VLOOKUP(Costing[[#This Row],[IAS Team]],Staff_Info[],4,0),"")</f>
        <v/>
      </c>
      <c r="BD12" s="22" t="str">
        <f>IFERROR(VLOOKUP(Costing[[#This Row],[IAS Frequency]],Frequency[],2,0),"")</f>
        <v/>
      </c>
      <c r="BE12" s="56">
        <f>IFERROR(Costing[[#This Row],[IAS Hours/Month]]*Costing[[#This Row],[IAS Rate]],0)</f>
        <v>0</v>
      </c>
      <c r="BF12" s="11" t="s">
        <v>182</v>
      </c>
      <c r="BG12" s="11" t="s">
        <v>117</v>
      </c>
      <c r="BH12" s="11">
        <v>120</v>
      </c>
      <c r="BI12" s="23">
        <f>IFERROR(VLOOKUP(Costing[[#This Row],[EOFY Team 1]],Staff_Info[],4,0),"")</f>
        <v>30</v>
      </c>
      <c r="BJ12" s="57">
        <f>Costing[[#This Row],[Time Min 1]]/12</f>
        <v>10</v>
      </c>
      <c r="BK12" s="11" t="s">
        <v>119</v>
      </c>
      <c r="BL12" s="11">
        <v>120</v>
      </c>
      <c r="BM12" s="23">
        <f>IFERROR(VLOOKUP(Costing[[#This Row],[EOFY Team 2]],Staff_Info[],4,0),"")</f>
        <v>50</v>
      </c>
      <c r="BN12" s="57">
        <f>Costing[[#This Row],[Time Min 2]]/12</f>
        <v>10</v>
      </c>
      <c r="BO12" s="55">
        <f>IFERROR((Costing[[#This Row],[EOFY 1 Min/Month]]/60*Costing[[#This Row],[EOFY Team 1 Rate]])+(Costing[[#This Row],[EOFY 2 Min/Month]]/60*Costing[[#This Row],[EOFY Team 2 Rate]]),0)</f>
        <v>13.333333333333332</v>
      </c>
      <c r="BP12" s="11" t="s">
        <v>171</v>
      </c>
      <c r="BQ12" s="55">
        <f>IFERROR(VLOOKUP(Costing[[#This Row],[Software Name]],Software[],2,0),0)</f>
        <v>18.190000000000001</v>
      </c>
      <c r="BR12" s="59" t="s">
        <v>294</v>
      </c>
      <c r="BS12" s="11" t="s">
        <v>126</v>
      </c>
      <c r="BT12" s="60">
        <f>IF(Costing[[#This Row],[Minutes/Activity]]&gt;0,Costing[[#This Row],[Minutes/Activity]]*Costing[[#This Row],[Onboarding Factor]],"")</f>
        <v>178.5</v>
      </c>
      <c r="BU12" s="60">
        <f>IFERROR(Costing[[#This Row],[Onboarding Minutes]]/60,)</f>
        <v>2.9750000000000001</v>
      </c>
      <c r="BV12" s="60">
        <f t="shared" si="0"/>
        <v>79.92</v>
      </c>
      <c r="BW12" s="61">
        <f>IFERROR(VLOOKUP(Costing[[#This Row],[Onboarding Team]],Staff_Info[],4,0),"")</f>
        <v>50</v>
      </c>
      <c r="BX12" s="60">
        <f t="shared" si="1"/>
        <v>5.95</v>
      </c>
      <c r="BY12" s="55">
        <f>IFERROR(Costing[[#This Row],[Onboarding Hours]]/Costing[[#This Row],[Client Life Expectancy (Months)]]*Costing[[#This Row],[Onboarding Rate]],0)</f>
        <v>1.8612362362362362</v>
      </c>
      <c r="BZ12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71.361236236236238</v>
      </c>
      <c r="CA12" s="27">
        <v>163.72999999999999</v>
      </c>
      <c r="CB12" s="63">
        <f>IFERROR((Costing[[#This Row],[Current Sales Price]]-Costing[[#This Row],[Total  Cost excl. Software]])/Costing[[#This Row],[Current Sales Price]],)</f>
        <v>0.5641529576972073</v>
      </c>
      <c r="CC12" s="64">
        <f>Costing[[#This Row],[Total  Cost excl. Software]]/(1-$CC$1)</f>
        <v>203.88924638924641</v>
      </c>
    </row>
    <row r="13" spans="1:81" x14ac:dyDescent="0.2">
      <c r="A13" s="11" t="s">
        <v>281</v>
      </c>
      <c r="B13" s="48"/>
      <c r="C13" s="17"/>
      <c r="D13" s="17"/>
      <c r="E13" s="17"/>
      <c r="F13" s="21" t="str">
        <f>IFERROR(Costing[[#This Row],[Minutes/Pay Run]]*Costing[[#This Row],[Payroll Factor]]/60,"")</f>
        <v/>
      </c>
      <c r="G13" s="54" t="str">
        <f>IFERROR(VLOOKUP(Costing[[#This Row],[Payroll Team]],Staff_Info[],4,0),"")</f>
        <v/>
      </c>
      <c r="H13" s="21" t="str">
        <f>IFERROR(VLOOKUP(Costing[[#This Row],[Payroll Frequency]],Frequency[],2,0),"")</f>
        <v/>
      </c>
      <c r="I13" s="55">
        <f>IFERROR(Costing[[#This Row],[Payroll Hours/Month]]*Costing[[#This Row],[Payroll Rate]],0)</f>
        <v>0</v>
      </c>
      <c r="J13" s="54"/>
      <c r="K13" s="11"/>
      <c r="L13" s="11"/>
      <c r="M13" s="11"/>
      <c r="N13" s="22" t="str">
        <f>IFERROR(Costing[[#This Row],[Minutes/Super]]*Costing[[#This Row],[Super Factor]]/60,"")</f>
        <v/>
      </c>
      <c r="O13" s="23" t="str">
        <f>IFERROR(VLOOKUP(Costing[[#This Row],[Super Team]],Staff_Info[],4,0),"")</f>
        <v/>
      </c>
      <c r="P13" s="22" t="str">
        <f>IFERROR(VLOOKUP(Costing[[#This Row],[Super Frequency]],Frequency[],2,0),"")</f>
        <v/>
      </c>
      <c r="Q13" s="55">
        <f>IFERROR(Costing[[#This Row],[Super Hours/Month]]*Costing[[#This Row],[Super Rate]],0)</f>
        <v>0</v>
      </c>
      <c r="R13" s="11" t="s">
        <v>177</v>
      </c>
      <c r="S13" s="11" t="s">
        <v>116</v>
      </c>
      <c r="T13" s="11" t="s">
        <v>157</v>
      </c>
      <c r="U13" s="11">
        <v>120</v>
      </c>
      <c r="V13" s="22">
        <f>IFERROR(Costing[[#This Row],[Minutes/Activity]]*Costing[[#This Row],[Bookkeeping Factor]]/60,"")</f>
        <v>0.66666666666666663</v>
      </c>
      <c r="W13" s="23">
        <f>IFERROR(VLOOKUP(Costing[[#This Row],[Bookkeeping Team]],Staff_Info[],4,0),"")</f>
        <v>10</v>
      </c>
      <c r="X13" s="22">
        <f>IFERROR(VLOOKUP(Costing[[#This Row],[Bookkeeping Frequency]],Frequency[],2,0),"")</f>
        <v>0.33333333333333331</v>
      </c>
      <c r="Y13" s="55">
        <f>IFERROR(Costing[[#This Row],[Bookkeeping Hours/Month]]*Costing[[#This Row],[Bookkeeping Rate]],0)</f>
        <v>6.6666666666666661</v>
      </c>
      <c r="Z13" s="11"/>
      <c r="AA13" s="11"/>
      <c r="AB13" s="11"/>
      <c r="AC13" s="11"/>
      <c r="AD13" s="22" t="str">
        <f>IFERROR(Costing[[#This Row],[Minutes/Report]]*Costing[[#This Row],[Reporting Factor]]/60,"")</f>
        <v/>
      </c>
      <c r="AE13" s="23" t="str">
        <f>IFERROR(VLOOKUP(Costing[[#This Row],[Reporting Team]],Staff_Info[],4,0),"")</f>
        <v/>
      </c>
      <c r="AF13" s="22" t="str">
        <f>IFERROR(VLOOKUP(Costing[[#This Row],[Reporting Frequency]],Frequency[],2,0),"")</f>
        <v/>
      </c>
      <c r="AG13" s="55">
        <f>IFERROR(Costing[[#This Row],[Reporting Hours/Month]]*Costing[[#This Row],[Reporting Rate]],0)</f>
        <v>0</v>
      </c>
      <c r="AH13" s="11" t="s">
        <v>179</v>
      </c>
      <c r="AI13" s="11" t="s">
        <v>116</v>
      </c>
      <c r="AJ13" s="11" t="s">
        <v>157</v>
      </c>
      <c r="AK13" s="11">
        <v>60</v>
      </c>
      <c r="AL13" s="22">
        <f>IFERROR(Costing[[#This Row],[Minutes/BAS 1]]*Costing[[#This Row],[BAS 1 Factor]]/60,"")</f>
        <v>0.33333333333333331</v>
      </c>
      <c r="AM13" s="23">
        <f>IFERROR(VLOOKUP(Costing[[#This Row],[BAS 1 Team]],Staff_Info[],4,0),"")</f>
        <v>10</v>
      </c>
      <c r="AN13" s="22">
        <f>IFERROR(VLOOKUP(Costing[[#This Row],[BAS 1 Frequency]],Frequency[],2,0),"")</f>
        <v>0.33333333333333331</v>
      </c>
      <c r="AO13" s="55">
        <f>IFERROR(Costing[[#This Row],[BAS 1 Hours/Month]]*Costing[[#This Row],[BAS 1 Rate]],0)</f>
        <v>3.333333333333333</v>
      </c>
      <c r="AP13" s="11" t="s">
        <v>180</v>
      </c>
      <c r="AQ13" s="11" t="s">
        <v>117</v>
      </c>
      <c r="AR13" s="11" t="s">
        <v>157</v>
      </c>
      <c r="AS13" s="11">
        <v>15</v>
      </c>
      <c r="AT13" s="22">
        <f>IFERROR(Costing[[#This Row],[Minutes/BAS 2]]*Costing[[#This Row],[BAS 2 Factor]]/60,"")</f>
        <v>8.3333333333333329E-2</v>
      </c>
      <c r="AU13" s="23">
        <f>IFERROR(VLOOKUP(Costing[[#This Row],[BAS 2 Team]],Staff_Info[],4,0),"")</f>
        <v>30</v>
      </c>
      <c r="AV13" s="22">
        <f>IFERROR(VLOOKUP(Costing[[#This Row],[BAS 2 Frequency]],Frequency[],2,0),"")</f>
        <v>0.33333333333333331</v>
      </c>
      <c r="AW13" s="55">
        <f>IFERROR(Costing[[#This Row],[BAS 2 Hours/Month]]*Costing[[#This Row],[BAS 2 Rate]],0)</f>
        <v>2.5</v>
      </c>
      <c r="AX13" s="11"/>
      <c r="AY13" s="11"/>
      <c r="AZ13" s="11"/>
      <c r="BA13" s="11"/>
      <c r="BB13" s="22" t="str">
        <f>IFERROR(Costing[[#This Row],[Minutes/IAS]]*Costing[[#This Row],[IAS Factor]]/60,"")</f>
        <v/>
      </c>
      <c r="BC13" s="23" t="str">
        <f>IFERROR(VLOOKUP(Costing[[#This Row],[IAS Team]],Staff_Info[],4,0),"")</f>
        <v/>
      </c>
      <c r="BD13" s="22" t="str">
        <f>IFERROR(VLOOKUP(Costing[[#This Row],[IAS Frequency]],Frequency[],2,0),"")</f>
        <v/>
      </c>
      <c r="BE13" s="56">
        <f>IFERROR(Costing[[#This Row],[IAS Hours/Month]]*Costing[[#This Row],[IAS Rate]],0)</f>
        <v>0</v>
      </c>
      <c r="BF13" s="11" t="s">
        <v>182</v>
      </c>
      <c r="BG13" s="11" t="s">
        <v>116</v>
      </c>
      <c r="BH13" s="11">
        <v>60</v>
      </c>
      <c r="BI13" s="23">
        <f>IFERROR(VLOOKUP(Costing[[#This Row],[EOFY Team 1]],Staff_Info[],4,0),"")</f>
        <v>10</v>
      </c>
      <c r="BJ13" s="57">
        <f>Costing[[#This Row],[Time Min 1]]/12</f>
        <v>5</v>
      </c>
      <c r="BK13" s="11" t="s">
        <v>119</v>
      </c>
      <c r="BL13" s="11">
        <v>60</v>
      </c>
      <c r="BM13" s="23">
        <f>IFERROR(VLOOKUP(Costing[[#This Row],[EOFY Team 2]],Staff_Info[],4,0),"")</f>
        <v>50</v>
      </c>
      <c r="BN13" s="57">
        <f>Costing[[#This Row],[Time Min 2]]/12</f>
        <v>5</v>
      </c>
      <c r="BO13" s="55">
        <f>IFERROR((Costing[[#This Row],[EOFY 1 Min/Month]]/60*Costing[[#This Row],[EOFY Team 1 Rate]])+(Costing[[#This Row],[EOFY 2 Min/Month]]/60*Costing[[#This Row],[EOFY Team 2 Rate]]),0)</f>
        <v>4.9999999999999991</v>
      </c>
      <c r="BP13" s="11"/>
      <c r="BQ13" s="55">
        <f>IFERROR(VLOOKUP(Costing[[#This Row],[Software Name]],Software[],2,0),0)</f>
        <v>0</v>
      </c>
      <c r="BR13" s="59" t="s">
        <v>294</v>
      </c>
      <c r="BS13" s="11" t="s">
        <v>119</v>
      </c>
      <c r="BT13" s="60">
        <f>IF(Costing[[#This Row],[Minutes/Activity]]&gt;0,Costing[[#This Row],[Minutes/Activity]]*Costing[[#This Row],[Onboarding Factor]],"")</f>
        <v>714</v>
      </c>
      <c r="BU13" s="60">
        <f>IFERROR(Costing[[#This Row],[Onboarding Minutes]]/60,)</f>
        <v>11.9</v>
      </c>
      <c r="BV13" s="60">
        <f t="shared" si="0"/>
        <v>79.92</v>
      </c>
      <c r="BW13" s="61">
        <f>IFERROR(VLOOKUP(Costing[[#This Row],[Onboarding Team]],Staff_Info[],4,0),"")</f>
        <v>50</v>
      </c>
      <c r="BX13" s="60">
        <f t="shared" si="1"/>
        <v>5.95</v>
      </c>
      <c r="BY13" s="55">
        <f>IFERROR(Costing[[#This Row],[Onboarding Hours]]/Costing[[#This Row],[Client Life Expectancy (Months)]]*Costing[[#This Row],[Onboarding Rate]],0)</f>
        <v>7.444944944944945</v>
      </c>
      <c r="BZ13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24.944944944944943</v>
      </c>
      <c r="CA13" s="27">
        <v>145.44999999999999</v>
      </c>
      <c r="CB13" s="63">
        <f>IFERROR((Costing[[#This Row],[Current Sales Price]]-Costing[[#This Row],[Total  Cost excl. Software]])/Costing[[#This Row],[Current Sales Price]],)</f>
        <v>0.8284981440705057</v>
      </c>
      <c r="CC13" s="64">
        <f>Costing[[#This Row],[Total  Cost excl. Software]]/(1-$CC$1)</f>
        <v>71.271271271271274</v>
      </c>
    </row>
    <row r="14" spans="1:81" x14ac:dyDescent="0.2">
      <c r="A14" s="11" t="s">
        <v>12</v>
      </c>
      <c r="B14" s="48"/>
      <c r="C14" s="17"/>
      <c r="D14" s="17"/>
      <c r="E14" s="17"/>
      <c r="F14" s="21" t="str">
        <f>IFERROR(Costing[[#This Row],[Minutes/Pay Run]]*Costing[[#This Row],[Payroll Factor]]/60,"")</f>
        <v/>
      </c>
      <c r="G14" s="54" t="str">
        <f>IFERROR(VLOOKUP(Costing[[#This Row],[Payroll Team]],Staff_Info[],4,0),"")</f>
        <v/>
      </c>
      <c r="H14" s="21" t="str">
        <f>IFERROR(VLOOKUP(Costing[[#This Row],[Payroll Frequency]],Frequency[],2,0),"")</f>
        <v/>
      </c>
      <c r="I14" s="55">
        <f>IFERROR(Costing[[#This Row],[Payroll Hours/Month]]*Costing[[#This Row],[Payroll Rate]],0)</f>
        <v>0</v>
      </c>
      <c r="J14" s="54"/>
      <c r="K14" s="11"/>
      <c r="L14" s="11"/>
      <c r="M14" s="11"/>
      <c r="N14" s="22" t="str">
        <f>IFERROR(Costing[[#This Row],[Minutes/Super]]*Costing[[#This Row],[Super Factor]]/60,"")</f>
        <v/>
      </c>
      <c r="O14" s="23" t="str">
        <f>IFERROR(VLOOKUP(Costing[[#This Row],[Super Team]],Staff_Info[],4,0),"")</f>
        <v/>
      </c>
      <c r="P14" s="22" t="str">
        <f>IFERROR(VLOOKUP(Costing[[#This Row],[Super Frequency]],Frequency[],2,0),"")</f>
        <v/>
      </c>
      <c r="Q14" s="55">
        <f>IFERROR(Costing[[#This Row],[Super Hours/Month]]*Costing[[#This Row],[Super Rate]],0)</f>
        <v>0</v>
      </c>
      <c r="R14" s="11" t="s">
        <v>177</v>
      </c>
      <c r="S14" s="11" t="s">
        <v>117</v>
      </c>
      <c r="T14" s="11" t="s">
        <v>157</v>
      </c>
      <c r="U14" s="11">
        <v>100</v>
      </c>
      <c r="V14" s="22">
        <f>IFERROR(Costing[[#This Row],[Minutes/Activity]]*Costing[[#This Row],[Bookkeeping Factor]]/60,"")</f>
        <v>0.55555555555555547</v>
      </c>
      <c r="W14" s="23">
        <f>IFERROR(VLOOKUP(Costing[[#This Row],[Bookkeeping Team]],Staff_Info[],4,0),"")</f>
        <v>30</v>
      </c>
      <c r="X14" s="22">
        <f>IFERROR(VLOOKUP(Costing[[#This Row],[Bookkeeping Frequency]],Frequency[],2,0),"")</f>
        <v>0.33333333333333331</v>
      </c>
      <c r="Y14" s="55">
        <f>IFERROR(Costing[[#This Row],[Bookkeeping Hours/Month]]*Costing[[#This Row],[Bookkeeping Rate]],0)</f>
        <v>16.666666666666664</v>
      </c>
      <c r="Z14" s="11" t="s">
        <v>178</v>
      </c>
      <c r="AA14" s="11" t="s">
        <v>117</v>
      </c>
      <c r="AB14" s="11" t="s">
        <v>157</v>
      </c>
      <c r="AC14" s="11">
        <v>15</v>
      </c>
      <c r="AD14" s="22">
        <f>IFERROR(Costing[[#This Row],[Minutes/Report]]*Costing[[#This Row],[Reporting Factor]]/60,"")</f>
        <v>8.3333333333333329E-2</v>
      </c>
      <c r="AE14" s="23">
        <f>IFERROR(VLOOKUP(Costing[[#This Row],[Reporting Team]],Staff_Info[],4,0),"")</f>
        <v>30</v>
      </c>
      <c r="AF14" s="22">
        <f>IFERROR(VLOOKUP(Costing[[#This Row],[Reporting Frequency]],Frequency[],2,0),"")</f>
        <v>0.33333333333333331</v>
      </c>
      <c r="AG14" s="55">
        <f>IFERROR(Costing[[#This Row],[Reporting Hours/Month]]*Costing[[#This Row],[Reporting Rate]],0)</f>
        <v>2.5</v>
      </c>
      <c r="AH14" s="11" t="s">
        <v>179</v>
      </c>
      <c r="AI14" s="11" t="s">
        <v>117</v>
      </c>
      <c r="AJ14" s="11" t="s">
        <v>157</v>
      </c>
      <c r="AK14" s="11">
        <v>60</v>
      </c>
      <c r="AL14" s="22">
        <f>IFERROR(Costing[[#This Row],[Minutes/BAS 1]]*Costing[[#This Row],[BAS 1 Factor]]/60,"")</f>
        <v>0.33333333333333331</v>
      </c>
      <c r="AM14" s="23">
        <f>IFERROR(VLOOKUP(Costing[[#This Row],[BAS 1 Team]],Staff_Info[],4,0),"")</f>
        <v>30</v>
      </c>
      <c r="AN14" s="22">
        <f>IFERROR(VLOOKUP(Costing[[#This Row],[BAS 1 Frequency]],Frequency[],2,0),"")</f>
        <v>0.33333333333333331</v>
      </c>
      <c r="AO14" s="55">
        <f>IFERROR(Costing[[#This Row],[BAS 1 Hours/Month]]*Costing[[#This Row],[BAS 1 Rate]],0)</f>
        <v>10</v>
      </c>
      <c r="AP14" s="11" t="s">
        <v>180</v>
      </c>
      <c r="AQ14" s="11" t="s">
        <v>117</v>
      </c>
      <c r="AR14" s="11" t="s">
        <v>157</v>
      </c>
      <c r="AS14" s="11">
        <v>15</v>
      </c>
      <c r="AT14" s="22">
        <f>IFERROR(Costing[[#This Row],[Minutes/BAS 2]]*Costing[[#This Row],[BAS 2 Factor]]/60,"")</f>
        <v>8.3333333333333329E-2</v>
      </c>
      <c r="AU14" s="23">
        <f>IFERROR(VLOOKUP(Costing[[#This Row],[BAS 2 Team]],Staff_Info[],4,0),"")</f>
        <v>30</v>
      </c>
      <c r="AV14" s="22">
        <f>IFERROR(VLOOKUP(Costing[[#This Row],[BAS 2 Frequency]],Frequency[],2,0),"")</f>
        <v>0.33333333333333331</v>
      </c>
      <c r="AW14" s="55">
        <f>IFERROR(Costing[[#This Row],[BAS 2 Hours/Month]]*Costing[[#This Row],[BAS 2 Rate]],0)</f>
        <v>2.5</v>
      </c>
      <c r="AX14" s="11"/>
      <c r="AY14" s="11"/>
      <c r="AZ14" s="11"/>
      <c r="BA14" s="11"/>
      <c r="BB14" s="22" t="str">
        <f>IFERROR(Costing[[#This Row],[Minutes/IAS]]*Costing[[#This Row],[IAS Factor]]/60,"")</f>
        <v/>
      </c>
      <c r="BC14" s="23" t="str">
        <f>IFERROR(VLOOKUP(Costing[[#This Row],[IAS Team]],Staff_Info[],4,0),"")</f>
        <v/>
      </c>
      <c r="BD14" s="22" t="str">
        <f>IFERROR(VLOOKUP(Costing[[#This Row],[IAS Frequency]],Frequency[],2,0),"")</f>
        <v/>
      </c>
      <c r="BE14" s="56">
        <f>IFERROR(Costing[[#This Row],[IAS Hours/Month]]*Costing[[#This Row],[IAS Rate]],0)</f>
        <v>0</v>
      </c>
      <c r="BF14" s="11" t="s">
        <v>182</v>
      </c>
      <c r="BG14" s="11" t="s">
        <v>117</v>
      </c>
      <c r="BH14" s="11">
        <v>60</v>
      </c>
      <c r="BI14" s="23">
        <f>IFERROR(VLOOKUP(Costing[[#This Row],[EOFY Team 1]],Staff_Info[],4,0),"")</f>
        <v>30</v>
      </c>
      <c r="BJ14" s="57">
        <f>Costing[[#This Row],[Time Min 1]]/12</f>
        <v>5</v>
      </c>
      <c r="BK14" s="11" t="s">
        <v>119</v>
      </c>
      <c r="BL14" s="11">
        <v>120</v>
      </c>
      <c r="BM14" s="23">
        <f>IFERROR(VLOOKUP(Costing[[#This Row],[EOFY Team 2]],Staff_Info[],4,0),"")</f>
        <v>50</v>
      </c>
      <c r="BN14" s="57">
        <f>Costing[[#This Row],[Time Min 2]]/12</f>
        <v>10</v>
      </c>
      <c r="BO14" s="55">
        <f>IFERROR((Costing[[#This Row],[EOFY 1 Min/Month]]/60*Costing[[#This Row],[EOFY Team 1 Rate]])+(Costing[[#This Row],[EOFY 2 Min/Month]]/60*Costing[[#This Row],[EOFY Team 2 Rate]]),0)</f>
        <v>10.833333333333332</v>
      </c>
      <c r="BP14" s="11" t="s">
        <v>171</v>
      </c>
      <c r="BQ14" s="55">
        <f>IFERROR(VLOOKUP(Costing[[#This Row],[Software Name]],Software[],2,0),0)</f>
        <v>18.190000000000001</v>
      </c>
      <c r="BR14" s="59" t="s">
        <v>294</v>
      </c>
      <c r="BS14" s="11" t="s">
        <v>126</v>
      </c>
      <c r="BT14" s="60">
        <f>IF(Costing[[#This Row],[Minutes/Activity]]&gt;0,Costing[[#This Row],[Minutes/Activity]]*Costing[[#This Row],[Onboarding Factor]],"")</f>
        <v>595</v>
      </c>
      <c r="BU14" s="60">
        <f>IFERROR(Costing[[#This Row],[Onboarding Minutes]]/60,)</f>
        <v>9.9166666666666661</v>
      </c>
      <c r="BV14" s="60">
        <f t="shared" si="0"/>
        <v>79.92</v>
      </c>
      <c r="BW14" s="61">
        <f>IFERROR(VLOOKUP(Costing[[#This Row],[Onboarding Team]],Staff_Info[],4,0),"")</f>
        <v>50</v>
      </c>
      <c r="BX14" s="60">
        <f t="shared" si="1"/>
        <v>5.95</v>
      </c>
      <c r="BY14" s="55">
        <f>IFERROR(Costing[[#This Row],[Onboarding Hours]]/Costing[[#This Row],[Client Life Expectancy (Months)]]*Costing[[#This Row],[Onboarding Rate]],0)</f>
        <v>6.2041207874541202</v>
      </c>
      <c r="BZ14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48.704120787454123</v>
      </c>
      <c r="CA14" s="27">
        <v>83.75</v>
      </c>
      <c r="CB14" s="63">
        <f>IFERROR((Costing[[#This Row],[Current Sales Price]]-Costing[[#This Row],[Total  Cost excl. Software]])/Costing[[#This Row],[Current Sales Price]],)</f>
        <v>0.41845825925427915</v>
      </c>
      <c r="CC14" s="64">
        <f>Costing[[#This Row],[Total  Cost excl. Software]]/(1-$CC$1)</f>
        <v>139.1546308212975</v>
      </c>
    </row>
    <row r="15" spans="1:81" x14ac:dyDescent="0.2">
      <c r="A15" s="11" t="s">
        <v>13</v>
      </c>
      <c r="B15" s="48" t="s">
        <v>145</v>
      </c>
      <c r="C15" s="17" t="s">
        <v>117</v>
      </c>
      <c r="D15" s="17" t="s">
        <v>154</v>
      </c>
      <c r="E15" s="17">
        <v>10</v>
      </c>
      <c r="F15" s="21">
        <f>IFERROR(Costing[[#This Row],[Minutes/Pay Run]]*Costing[[#This Row],[Payroll Factor]]/60,"")</f>
        <v>0.7222222222222221</v>
      </c>
      <c r="G15" s="54">
        <f>IFERROR(VLOOKUP(Costing[[#This Row],[Payroll Team]],Staff_Info[],4,0),"")</f>
        <v>30</v>
      </c>
      <c r="H15" s="21">
        <f>IFERROR(VLOOKUP(Costing[[#This Row],[Payroll Frequency]],Frequency[],2,0),"")</f>
        <v>4.333333333333333</v>
      </c>
      <c r="I15" s="55">
        <f>IFERROR(Costing[[#This Row],[Payroll Hours/Month]]*Costing[[#This Row],[Payroll Rate]],0)</f>
        <v>21.666666666666664</v>
      </c>
      <c r="J15" s="54" t="s">
        <v>176</v>
      </c>
      <c r="K15" s="11" t="s">
        <v>117</v>
      </c>
      <c r="L15" s="11" t="s">
        <v>157</v>
      </c>
      <c r="M15" s="11">
        <v>15</v>
      </c>
      <c r="N15" s="22">
        <f>IFERROR(Costing[[#This Row],[Minutes/Super]]*Costing[[#This Row],[Super Factor]]/60,"")</f>
        <v>8.3333333333333329E-2</v>
      </c>
      <c r="O15" s="23">
        <f>IFERROR(VLOOKUP(Costing[[#This Row],[Super Team]],Staff_Info[],4,0),"")</f>
        <v>30</v>
      </c>
      <c r="P15" s="22">
        <f>IFERROR(VLOOKUP(Costing[[#This Row],[Super Frequency]],Frequency[],2,0),"")</f>
        <v>0.33333333333333331</v>
      </c>
      <c r="Q15" s="55">
        <f>IFERROR(Costing[[#This Row],[Super Hours/Month]]*Costing[[#This Row],[Super Rate]],0)</f>
        <v>2.5</v>
      </c>
      <c r="R15" s="11" t="s">
        <v>177</v>
      </c>
      <c r="S15" s="11" t="s">
        <v>126</v>
      </c>
      <c r="T15" s="11" t="s">
        <v>183</v>
      </c>
      <c r="U15" s="11">
        <v>140</v>
      </c>
      <c r="V15" s="22">
        <f>IFERROR(Costing[[#This Row],[Minutes/Activity]]*Costing[[#This Row],[Bookkeeping Factor]]/60,"")</f>
        <v>2.3333333333333335</v>
      </c>
      <c r="W15" s="23">
        <f>IFERROR(VLOOKUP(Costing[[#This Row],[Bookkeeping Team]],Staff_Info[],4,0),"")</f>
        <v>50</v>
      </c>
      <c r="X15" s="22">
        <f>IFERROR(VLOOKUP(Costing[[#This Row],[Bookkeeping Frequency]],Frequency[],2,0),"")</f>
        <v>1</v>
      </c>
      <c r="Y15" s="55">
        <f>IFERROR(Costing[[#This Row],[Bookkeeping Hours/Month]]*Costing[[#This Row],[Bookkeeping Rate]],0)</f>
        <v>116.66666666666667</v>
      </c>
      <c r="Z15" s="11" t="s">
        <v>178</v>
      </c>
      <c r="AA15" s="11" t="s">
        <v>126</v>
      </c>
      <c r="AB15" s="11" t="s">
        <v>183</v>
      </c>
      <c r="AC15" s="11">
        <v>30</v>
      </c>
      <c r="AD15" s="22">
        <f>IFERROR(Costing[[#This Row],[Minutes/Report]]*Costing[[#This Row],[Reporting Factor]]/60,"")</f>
        <v>0.5</v>
      </c>
      <c r="AE15" s="23">
        <f>IFERROR(VLOOKUP(Costing[[#This Row],[Reporting Team]],Staff_Info[],4,0),"")</f>
        <v>50</v>
      </c>
      <c r="AF15" s="22">
        <f>IFERROR(VLOOKUP(Costing[[#This Row],[Reporting Frequency]],Frequency[],2,0),"")</f>
        <v>1</v>
      </c>
      <c r="AG15" s="55">
        <f>IFERROR(Costing[[#This Row],[Reporting Hours/Month]]*Costing[[#This Row],[Reporting Rate]],0)</f>
        <v>25</v>
      </c>
      <c r="AH15" s="11" t="s">
        <v>179</v>
      </c>
      <c r="AI15" s="11" t="s">
        <v>117</v>
      </c>
      <c r="AJ15" s="11" t="s">
        <v>157</v>
      </c>
      <c r="AK15" s="11">
        <v>60</v>
      </c>
      <c r="AL15" s="22">
        <f>IFERROR(Costing[[#This Row],[Minutes/BAS 1]]*Costing[[#This Row],[BAS 1 Factor]]/60,"")</f>
        <v>0.33333333333333331</v>
      </c>
      <c r="AM15" s="23">
        <f>IFERROR(VLOOKUP(Costing[[#This Row],[BAS 1 Team]],Staff_Info[],4,0),"")</f>
        <v>30</v>
      </c>
      <c r="AN15" s="22">
        <f>IFERROR(VLOOKUP(Costing[[#This Row],[BAS 1 Frequency]],Frequency[],2,0),"")</f>
        <v>0.33333333333333331</v>
      </c>
      <c r="AO15" s="55">
        <f>IFERROR(Costing[[#This Row],[BAS 1 Hours/Month]]*Costing[[#This Row],[BAS 1 Rate]],0)</f>
        <v>10</v>
      </c>
      <c r="AP15" s="11" t="s">
        <v>180</v>
      </c>
      <c r="AQ15" s="11" t="s">
        <v>117</v>
      </c>
      <c r="AR15" s="11" t="s">
        <v>157</v>
      </c>
      <c r="AS15" s="11">
        <v>15</v>
      </c>
      <c r="AT15" s="22">
        <f>IFERROR(Costing[[#This Row],[Minutes/BAS 2]]*Costing[[#This Row],[BAS 2 Factor]]/60,"")</f>
        <v>8.3333333333333329E-2</v>
      </c>
      <c r="AU15" s="23">
        <f>IFERROR(VLOOKUP(Costing[[#This Row],[BAS 2 Team]],Staff_Info[],4,0),"")</f>
        <v>30</v>
      </c>
      <c r="AV15" s="22">
        <f>IFERROR(VLOOKUP(Costing[[#This Row],[BAS 2 Frequency]],Frequency[],2,0),"")</f>
        <v>0.33333333333333331</v>
      </c>
      <c r="AW15" s="55">
        <f>IFERROR(Costing[[#This Row],[BAS 2 Hours/Month]]*Costing[[#This Row],[BAS 2 Rate]],0)</f>
        <v>2.5</v>
      </c>
      <c r="AX15" s="11" t="s">
        <v>181</v>
      </c>
      <c r="AY15" s="65" t="s">
        <v>117</v>
      </c>
      <c r="AZ15" s="11" t="s">
        <v>183</v>
      </c>
      <c r="BA15" s="11">
        <v>30</v>
      </c>
      <c r="BB15" s="22">
        <f>IFERROR(Costing[[#This Row],[Minutes/IAS]]*Costing[[#This Row],[IAS Factor]]/60,"")</f>
        <v>0.5</v>
      </c>
      <c r="BC15" s="23">
        <f>IFERROR(VLOOKUP(Costing[[#This Row],[IAS Team]],Staff_Info[],4,0),"")</f>
        <v>30</v>
      </c>
      <c r="BD15" s="22">
        <f>IFERROR(VLOOKUP(Costing[[#This Row],[IAS Frequency]],Frequency[],2,0),"")</f>
        <v>1</v>
      </c>
      <c r="BE15" s="56">
        <f>IFERROR(Costing[[#This Row],[IAS Hours/Month]]*Costing[[#This Row],[IAS Rate]],0)</f>
        <v>15</v>
      </c>
      <c r="BF15" s="11" t="s">
        <v>182</v>
      </c>
      <c r="BG15" s="11" t="s">
        <v>117</v>
      </c>
      <c r="BH15" s="11">
        <v>120</v>
      </c>
      <c r="BI15" s="23">
        <f>IFERROR(VLOOKUP(Costing[[#This Row],[EOFY Team 1]],Staff_Info[],4,0),"")</f>
        <v>30</v>
      </c>
      <c r="BJ15" s="57">
        <f>Costing[[#This Row],[Time Min 1]]/12</f>
        <v>10</v>
      </c>
      <c r="BK15" s="11" t="s">
        <v>126</v>
      </c>
      <c r="BL15" s="11">
        <v>120</v>
      </c>
      <c r="BM15" s="23">
        <f>IFERROR(VLOOKUP(Costing[[#This Row],[EOFY Team 2]],Staff_Info[],4,0),"")</f>
        <v>50</v>
      </c>
      <c r="BN15" s="57">
        <f>Costing[[#This Row],[Time Min 2]]/12</f>
        <v>10</v>
      </c>
      <c r="BO15" s="55">
        <f>IFERROR((Costing[[#This Row],[EOFY 1 Min/Month]]/60*Costing[[#This Row],[EOFY Team 1 Rate]])+(Costing[[#This Row],[EOFY 2 Min/Month]]/60*Costing[[#This Row],[EOFY Team 2 Rate]]),0)</f>
        <v>13.333333333333332</v>
      </c>
      <c r="BP15" s="11"/>
      <c r="BQ15" s="55">
        <f>IFERROR(VLOOKUP(Costing[[#This Row],[Software Name]],Software[],2,0),0)</f>
        <v>0</v>
      </c>
      <c r="BR15" s="59" t="s">
        <v>294</v>
      </c>
      <c r="BS15" s="11" t="s">
        <v>126</v>
      </c>
      <c r="BT15" s="60">
        <f>IF(Costing[[#This Row],[Minutes/Activity]]&gt;0,Costing[[#This Row],[Minutes/Activity]]*Costing[[#This Row],[Onboarding Factor]],"")</f>
        <v>833</v>
      </c>
      <c r="BU15" s="60">
        <f>IFERROR(Costing[[#This Row],[Onboarding Minutes]]/60,)</f>
        <v>13.883333333333333</v>
      </c>
      <c r="BV15" s="60">
        <f t="shared" si="0"/>
        <v>79.92</v>
      </c>
      <c r="BW15" s="61">
        <f>IFERROR(VLOOKUP(Costing[[#This Row],[Onboarding Team]],Staff_Info[],4,0),"")</f>
        <v>50</v>
      </c>
      <c r="BX15" s="60">
        <f t="shared" si="1"/>
        <v>5.95</v>
      </c>
      <c r="BY15" s="55">
        <f>IFERROR(Costing[[#This Row],[Onboarding Hours]]/Costing[[#This Row],[Client Life Expectancy (Months)]]*Costing[[#This Row],[Onboarding Rate]],0)</f>
        <v>8.6857691024357688</v>
      </c>
      <c r="BZ15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215.35243576910244</v>
      </c>
      <c r="CA15" s="27">
        <v>588.36</v>
      </c>
      <c r="CB15" s="63">
        <f>IFERROR((Costing[[#This Row],[Current Sales Price]]-Costing[[#This Row],[Total  Cost excl. Software]])/Costing[[#This Row],[Current Sales Price]],)</f>
        <v>0.63397845575990475</v>
      </c>
      <c r="CC15" s="64">
        <f>Costing[[#This Row],[Total  Cost excl. Software]]/(1-$CC$1)</f>
        <v>615.29267362600706</v>
      </c>
    </row>
    <row r="16" spans="1:81" x14ac:dyDescent="0.2">
      <c r="A16" s="11" t="s">
        <v>14</v>
      </c>
      <c r="B16" s="48"/>
      <c r="C16" s="17"/>
      <c r="D16" s="17"/>
      <c r="E16" s="17"/>
      <c r="F16" s="21" t="str">
        <f>IFERROR(Costing[[#This Row],[Minutes/Pay Run]]*Costing[[#This Row],[Payroll Factor]]/60,"")</f>
        <v/>
      </c>
      <c r="G16" s="54" t="str">
        <f>IFERROR(VLOOKUP(Costing[[#This Row],[Payroll Team]],Staff_Info[],4,0),"")</f>
        <v/>
      </c>
      <c r="H16" s="21" t="str">
        <f>IFERROR(VLOOKUP(Costing[[#This Row],[Payroll Frequency]],Frequency[],2,0),"")</f>
        <v/>
      </c>
      <c r="I16" s="55">
        <f>IFERROR(Costing[[#This Row],[Payroll Hours/Month]]*Costing[[#This Row],[Payroll Rate]],0)</f>
        <v>0</v>
      </c>
      <c r="J16" s="54"/>
      <c r="K16" s="11"/>
      <c r="L16" s="11"/>
      <c r="M16" s="11"/>
      <c r="N16" s="22" t="str">
        <f>IFERROR(Costing[[#This Row],[Minutes/Super]]*Costing[[#This Row],[Super Factor]]/60,"")</f>
        <v/>
      </c>
      <c r="O16" s="23" t="str">
        <f>IFERROR(VLOOKUP(Costing[[#This Row],[Super Team]],Staff_Info[],4,0),"")</f>
        <v/>
      </c>
      <c r="P16" s="22" t="str">
        <f>IFERROR(VLOOKUP(Costing[[#This Row],[Super Frequency]],Frequency[],2,0),"")</f>
        <v/>
      </c>
      <c r="Q16" s="55">
        <f>IFERROR(Costing[[#This Row],[Super Hours/Month]]*Costing[[#This Row],[Super Rate]],0)</f>
        <v>0</v>
      </c>
      <c r="R16" s="11" t="s">
        <v>177</v>
      </c>
      <c r="S16" s="11" t="s">
        <v>117</v>
      </c>
      <c r="T16" s="11" t="s">
        <v>157</v>
      </c>
      <c r="U16" s="11">
        <v>115</v>
      </c>
      <c r="V16" s="22">
        <f>IFERROR(Costing[[#This Row],[Minutes/Activity]]*Costing[[#This Row],[Bookkeeping Factor]]/60,"")</f>
        <v>0.63888888888888884</v>
      </c>
      <c r="W16" s="23">
        <f>IFERROR(VLOOKUP(Costing[[#This Row],[Bookkeeping Team]],Staff_Info[],4,0),"")</f>
        <v>30</v>
      </c>
      <c r="X16" s="22">
        <f>IFERROR(VLOOKUP(Costing[[#This Row],[Bookkeeping Frequency]],Frequency[],2,0),"")</f>
        <v>0.33333333333333331</v>
      </c>
      <c r="Y16" s="55">
        <f>IFERROR(Costing[[#This Row],[Bookkeeping Hours/Month]]*Costing[[#This Row],[Bookkeeping Rate]],0)</f>
        <v>19.166666666666664</v>
      </c>
      <c r="Z16" s="11" t="s">
        <v>178</v>
      </c>
      <c r="AA16" s="11" t="s">
        <v>119</v>
      </c>
      <c r="AB16" s="11" t="s">
        <v>157</v>
      </c>
      <c r="AC16" s="11">
        <v>60</v>
      </c>
      <c r="AD16" s="22">
        <f>IFERROR(Costing[[#This Row],[Minutes/Report]]*Costing[[#This Row],[Reporting Factor]]/60,"")</f>
        <v>0.33333333333333331</v>
      </c>
      <c r="AE16" s="23">
        <f>IFERROR(VLOOKUP(Costing[[#This Row],[Reporting Team]],Staff_Info[],4,0),"")</f>
        <v>50</v>
      </c>
      <c r="AF16" s="22">
        <f>IFERROR(VLOOKUP(Costing[[#This Row],[Reporting Frequency]],Frequency[],2,0),"")</f>
        <v>0.33333333333333331</v>
      </c>
      <c r="AG16" s="55">
        <f>IFERROR(Costing[[#This Row],[Reporting Hours/Month]]*Costing[[#This Row],[Reporting Rate]],0)</f>
        <v>16.666666666666664</v>
      </c>
      <c r="AH16" s="11" t="s">
        <v>179</v>
      </c>
      <c r="AI16" s="11" t="s">
        <v>117</v>
      </c>
      <c r="AJ16" s="11" t="s">
        <v>157</v>
      </c>
      <c r="AK16" s="11">
        <v>60</v>
      </c>
      <c r="AL16" s="22">
        <f>IFERROR(Costing[[#This Row],[Minutes/BAS 1]]*Costing[[#This Row],[BAS 1 Factor]]/60,"")</f>
        <v>0.33333333333333331</v>
      </c>
      <c r="AM16" s="23">
        <f>IFERROR(VLOOKUP(Costing[[#This Row],[BAS 1 Team]],Staff_Info[],4,0),"")</f>
        <v>30</v>
      </c>
      <c r="AN16" s="22">
        <f>IFERROR(VLOOKUP(Costing[[#This Row],[BAS 1 Frequency]],Frequency[],2,0),"")</f>
        <v>0.33333333333333331</v>
      </c>
      <c r="AO16" s="55">
        <f>IFERROR(Costing[[#This Row],[BAS 1 Hours/Month]]*Costing[[#This Row],[BAS 1 Rate]],0)</f>
        <v>10</v>
      </c>
      <c r="AP16" s="11" t="s">
        <v>180</v>
      </c>
      <c r="AQ16" s="11" t="s">
        <v>117</v>
      </c>
      <c r="AR16" s="11" t="s">
        <v>157</v>
      </c>
      <c r="AS16" s="11">
        <v>15</v>
      </c>
      <c r="AT16" s="22">
        <f>IFERROR(Costing[[#This Row],[Minutes/BAS 2]]*Costing[[#This Row],[BAS 2 Factor]]/60,"")</f>
        <v>8.3333333333333329E-2</v>
      </c>
      <c r="AU16" s="23">
        <f>IFERROR(VLOOKUP(Costing[[#This Row],[BAS 2 Team]],Staff_Info[],4,0),"")</f>
        <v>30</v>
      </c>
      <c r="AV16" s="22">
        <f>IFERROR(VLOOKUP(Costing[[#This Row],[BAS 2 Frequency]],Frequency[],2,0),"")</f>
        <v>0.33333333333333331</v>
      </c>
      <c r="AW16" s="55">
        <f>IFERROR(Costing[[#This Row],[BAS 2 Hours/Month]]*Costing[[#This Row],[BAS 2 Rate]],0)</f>
        <v>2.5</v>
      </c>
      <c r="AX16" s="11"/>
      <c r="AY16" s="11"/>
      <c r="AZ16" s="11"/>
      <c r="BA16" s="11"/>
      <c r="BB16" s="22" t="str">
        <f>IFERROR(Costing[[#This Row],[Minutes/IAS]]*Costing[[#This Row],[IAS Factor]]/60,"")</f>
        <v/>
      </c>
      <c r="BC16" s="23" t="str">
        <f>IFERROR(VLOOKUP(Costing[[#This Row],[IAS Team]],Staff_Info[],4,0),"")</f>
        <v/>
      </c>
      <c r="BD16" s="22" t="str">
        <f>IFERROR(VLOOKUP(Costing[[#This Row],[IAS Frequency]],Frequency[],2,0),"")</f>
        <v/>
      </c>
      <c r="BE16" s="56">
        <f>IFERROR(Costing[[#This Row],[IAS Hours/Month]]*Costing[[#This Row],[IAS Rate]],0)</f>
        <v>0</v>
      </c>
      <c r="BF16" s="11" t="s">
        <v>182</v>
      </c>
      <c r="BG16" s="11" t="s">
        <v>117</v>
      </c>
      <c r="BH16" s="11">
        <v>120</v>
      </c>
      <c r="BI16" s="23">
        <f>IFERROR(VLOOKUP(Costing[[#This Row],[EOFY Team 1]],Staff_Info[],4,0),"")</f>
        <v>30</v>
      </c>
      <c r="BJ16" s="57">
        <f>Costing[[#This Row],[Time Min 1]]/12</f>
        <v>10</v>
      </c>
      <c r="BK16" s="11" t="s">
        <v>119</v>
      </c>
      <c r="BL16" s="11">
        <v>120</v>
      </c>
      <c r="BM16" s="23">
        <f>IFERROR(VLOOKUP(Costing[[#This Row],[EOFY Team 2]],Staff_Info[],4,0),"")</f>
        <v>50</v>
      </c>
      <c r="BN16" s="57">
        <f>Costing[[#This Row],[Time Min 2]]/12</f>
        <v>10</v>
      </c>
      <c r="BO16" s="55">
        <f>IFERROR((Costing[[#This Row],[EOFY 1 Min/Month]]/60*Costing[[#This Row],[EOFY Team 1 Rate]])+(Costing[[#This Row],[EOFY 2 Min/Month]]/60*Costing[[#This Row],[EOFY Team 2 Rate]]),0)</f>
        <v>13.333333333333332</v>
      </c>
      <c r="BP16" s="11" t="s">
        <v>173</v>
      </c>
      <c r="BQ16" s="55">
        <f>IFERROR(VLOOKUP(Costing[[#This Row],[Software Name]],Software[],2,0),0)</f>
        <v>18</v>
      </c>
      <c r="BR16" s="59" t="s">
        <v>294</v>
      </c>
      <c r="BS16" s="11" t="s">
        <v>119</v>
      </c>
      <c r="BT16" s="60">
        <f>IF(Costing[[#This Row],[Minutes/Activity]]&gt;0,Costing[[#This Row],[Minutes/Activity]]*Costing[[#This Row],[Onboarding Factor]],"")</f>
        <v>684.25</v>
      </c>
      <c r="BU16" s="60">
        <f>IFERROR(Costing[[#This Row],[Onboarding Minutes]]/60,)</f>
        <v>11.404166666666667</v>
      </c>
      <c r="BV16" s="60">
        <f t="shared" si="0"/>
        <v>79.92</v>
      </c>
      <c r="BW16" s="61">
        <f>IFERROR(VLOOKUP(Costing[[#This Row],[Onboarding Team]],Staff_Info[],4,0),"")</f>
        <v>50</v>
      </c>
      <c r="BX16" s="60">
        <f t="shared" si="1"/>
        <v>5.95</v>
      </c>
      <c r="BY16" s="55">
        <f>IFERROR(Costing[[#This Row],[Onboarding Hours]]/Costing[[#This Row],[Client Life Expectancy (Months)]]*Costing[[#This Row],[Onboarding Rate]],0)</f>
        <v>7.1347389055722381</v>
      </c>
      <c r="BZ16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68.801405572238892</v>
      </c>
      <c r="CA16" s="27">
        <v>130</v>
      </c>
      <c r="CB16" s="63">
        <f>IFERROR((Costing[[#This Row],[Current Sales Price]]-Costing[[#This Row],[Total  Cost excl. Software]])/Costing[[#This Row],[Current Sales Price]],)</f>
        <v>0.47075841867508544</v>
      </c>
      <c r="CC16" s="64">
        <f>Costing[[#This Row],[Total  Cost excl. Software]]/(1-$CC$1)</f>
        <v>196.57544449211113</v>
      </c>
    </row>
    <row r="17" spans="1:81" x14ac:dyDescent="0.2">
      <c r="A17" s="11" t="s">
        <v>15</v>
      </c>
      <c r="B17" s="48" t="s">
        <v>145</v>
      </c>
      <c r="C17" s="17" t="s">
        <v>115</v>
      </c>
      <c r="D17" s="17" t="s">
        <v>154</v>
      </c>
      <c r="E17" s="17">
        <v>26</v>
      </c>
      <c r="F17" s="21">
        <f>IFERROR(Costing[[#This Row],[Minutes/Pay Run]]*Costing[[#This Row],[Payroll Factor]]/60,"")</f>
        <v>1.8777777777777775</v>
      </c>
      <c r="G17" s="54">
        <f>IFERROR(VLOOKUP(Costing[[#This Row],[Payroll Team]],Staff_Info[],4,0),"")</f>
        <v>10</v>
      </c>
      <c r="H17" s="21">
        <f>IFERROR(VLOOKUP(Costing[[#This Row],[Payroll Frequency]],Frequency[],2,0),"")</f>
        <v>4.333333333333333</v>
      </c>
      <c r="I17" s="55">
        <f>IFERROR(Costing[[#This Row],[Payroll Hours/Month]]*Costing[[#This Row],[Payroll Rate]],0)</f>
        <v>18.777777777777775</v>
      </c>
      <c r="J17" s="54" t="s">
        <v>176</v>
      </c>
      <c r="K17" s="11" t="s">
        <v>115</v>
      </c>
      <c r="L17" s="11" t="s">
        <v>157</v>
      </c>
      <c r="M17" s="11">
        <v>40</v>
      </c>
      <c r="N17" s="22">
        <f>IFERROR(Costing[[#This Row],[Minutes/Super]]*Costing[[#This Row],[Super Factor]]/60,"")</f>
        <v>0.22222222222222221</v>
      </c>
      <c r="O17" s="23">
        <f>IFERROR(VLOOKUP(Costing[[#This Row],[Super Team]],Staff_Info[],4,0),"")</f>
        <v>10</v>
      </c>
      <c r="P17" s="22">
        <f>IFERROR(VLOOKUP(Costing[[#This Row],[Super Frequency]],Frequency[],2,0),"")</f>
        <v>0.33333333333333331</v>
      </c>
      <c r="Q17" s="55">
        <f>IFERROR(Costing[[#This Row],[Super Hours/Month]]*Costing[[#This Row],[Super Rate]],0)</f>
        <v>2.2222222222222223</v>
      </c>
      <c r="R17" s="11" t="s">
        <v>177</v>
      </c>
      <c r="S17" s="11" t="s">
        <v>115</v>
      </c>
      <c r="T17" s="11" t="s">
        <v>183</v>
      </c>
      <c r="U17" s="11">
        <v>141</v>
      </c>
      <c r="V17" s="22">
        <f>IFERROR(Costing[[#This Row],[Minutes/Activity]]*Costing[[#This Row],[Bookkeeping Factor]]/60,"")</f>
        <v>2.35</v>
      </c>
      <c r="W17" s="23">
        <f>IFERROR(VLOOKUP(Costing[[#This Row],[Bookkeeping Team]],Staff_Info[],4,0),"")</f>
        <v>10</v>
      </c>
      <c r="X17" s="22">
        <f>IFERROR(VLOOKUP(Costing[[#This Row],[Bookkeeping Frequency]],Frequency[],2,0),"")</f>
        <v>1</v>
      </c>
      <c r="Y17" s="55">
        <f>IFERROR(Costing[[#This Row],[Bookkeeping Hours/Month]]*Costing[[#This Row],[Bookkeeping Rate]],0)</f>
        <v>23.5</v>
      </c>
      <c r="Z17" s="11" t="s">
        <v>178</v>
      </c>
      <c r="AA17" s="11" t="s">
        <v>126</v>
      </c>
      <c r="AB17" s="11" t="s">
        <v>183</v>
      </c>
      <c r="AC17" s="11">
        <v>100</v>
      </c>
      <c r="AD17" s="22">
        <f>IFERROR(Costing[[#This Row],[Minutes/Report]]*Costing[[#This Row],[Reporting Factor]]/60,"")</f>
        <v>1.6666666666666667</v>
      </c>
      <c r="AE17" s="23">
        <f>IFERROR(VLOOKUP(Costing[[#This Row],[Reporting Team]],Staff_Info[],4,0),"")</f>
        <v>50</v>
      </c>
      <c r="AF17" s="22">
        <f>IFERROR(VLOOKUP(Costing[[#This Row],[Reporting Frequency]],Frequency[],2,0),"")</f>
        <v>1</v>
      </c>
      <c r="AG17" s="55">
        <f>IFERROR(Costing[[#This Row],[Reporting Hours/Month]]*Costing[[#This Row],[Reporting Rate]],0)</f>
        <v>83.333333333333343</v>
      </c>
      <c r="AH17" s="11" t="s">
        <v>179</v>
      </c>
      <c r="AI17" s="11" t="s">
        <v>115</v>
      </c>
      <c r="AJ17" s="11" t="s">
        <v>157</v>
      </c>
      <c r="AK17" s="11">
        <v>60</v>
      </c>
      <c r="AL17" s="22">
        <f>IFERROR(Costing[[#This Row],[Minutes/BAS 1]]*Costing[[#This Row],[BAS 1 Factor]]/60,"")</f>
        <v>0.33333333333333331</v>
      </c>
      <c r="AM17" s="23">
        <f>IFERROR(VLOOKUP(Costing[[#This Row],[BAS 1 Team]],Staff_Info[],4,0),"")</f>
        <v>10</v>
      </c>
      <c r="AN17" s="22">
        <f>IFERROR(VLOOKUP(Costing[[#This Row],[BAS 1 Frequency]],Frequency[],2,0),"")</f>
        <v>0.33333333333333331</v>
      </c>
      <c r="AO17" s="55">
        <f>IFERROR(Costing[[#This Row],[BAS 1 Hours/Month]]*Costing[[#This Row],[BAS 1 Rate]],0)</f>
        <v>3.333333333333333</v>
      </c>
      <c r="AP17" s="11" t="s">
        <v>180</v>
      </c>
      <c r="AQ17" s="11" t="s">
        <v>117</v>
      </c>
      <c r="AR17" s="11" t="s">
        <v>157</v>
      </c>
      <c r="AS17" s="11">
        <v>15</v>
      </c>
      <c r="AT17" s="22">
        <f>IFERROR(Costing[[#This Row],[Minutes/BAS 2]]*Costing[[#This Row],[BAS 2 Factor]]/60,"")</f>
        <v>8.3333333333333329E-2</v>
      </c>
      <c r="AU17" s="23">
        <f>IFERROR(VLOOKUP(Costing[[#This Row],[BAS 2 Team]],Staff_Info[],4,0),"")</f>
        <v>30</v>
      </c>
      <c r="AV17" s="22">
        <f>IFERROR(VLOOKUP(Costing[[#This Row],[BAS 2 Frequency]],Frequency[],2,0),"")</f>
        <v>0.33333333333333331</v>
      </c>
      <c r="AW17" s="55">
        <f>IFERROR(Costing[[#This Row],[BAS 2 Hours/Month]]*Costing[[#This Row],[BAS 2 Rate]],0)</f>
        <v>2.5</v>
      </c>
      <c r="AX17" s="11" t="s">
        <v>181</v>
      </c>
      <c r="AY17" s="11" t="s">
        <v>117</v>
      </c>
      <c r="AZ17" s="11" t="s">
        <v>183</v>
      </c>
      <c r="BA17" s="11">
        <v>30</v>
      </c>
      <c r="BB17" s="22">
        <f>IFERROR(Costing[[#This Row],[Minutes/IAS]]*Costing[[#This Row],[IAS Factor]]/60,"")</f>
        <v>0.5</v>
      </c>
      <c r="BC17" s="23">
        <f>IFERROR(VLOOKUP(Costing[[#This Row],[IAS Team]],Staff_Info[],4,0),"")</f>
        <v>30</v>
      </c>
      <c r="BD17" s="22">
        <f>IFERROR(VLOOKUP(Costing[[#This Row],[IAS Frequency]],Frequency[],2,0),"")</f>
        <v>1</v>
      </c>
      <c r="BE17" s="56">
        <f>IFERROR(Costing[[#This Row],[IAS Hours/Month]]*Costing[[#This Row],[IAS Rate]],0)</f>
        <v>15</v>
      </c>
      <c r="BF17" s="11" t="s">
        <v>182</v>
      </c>
      <c r="BG17" s="11" t="s">
        <v>115</v>
      </c>
      <c r="BH17" s="11">
        <v>120</v>
      </c>
      <c r="BI17" s="23">
        <f>IFERROR(VLOOKUP(Costing[[#This Row],[EOFY Team 1]],Staff_Info[],4,0),"")</f>
        <v>10</v>
      </c>
      <c r="BJ17" s="57">
        <f>Costing[[#This Row],[Time Min 1]]/12</f>
        <v>10</v>
      </c>
      <c r="BK17" s="11" t="s">
        <v>126</v>
      </c>
      <c r="BL17" s="11">
        <v>120</v>
      </c>
      <c r="BM17" s="23">
        <f>IFERROR(VLOOKUP(Costing[[#This Row],[EOFY Team 2]],Staff_Info[],4,0),"")</f>
        <v>50</v>
      </c>
      <c r="BN17" s="57">
        <f>Costing[[#This Row],[Time Min 2]]/12</f>
        <v>10</v>
      </c>
      <c r="BO17" s="55">
        <f>IFERROR((Costing[[#This Row],[EOFY 1 Min/Month]]/60*Costing[[#This Row],[EOFY Team 1 Rate]])+(Costing[[#This Row],[EOFY 2 Min/Month]]/60*Costing[[#This Row],[EOFY Team 2 Rate]]),0)</f>
        <v>9.9999999999999982</v>
      </c>
      <c r="BP17" s="11" t="s">
        <v>165</v>
      </c>
      <c r="BQ17" s="55">
        <f>IFERROR(VLOOKUP(Costing[[#This Row],[Software Name]],Software[],2,0),0)</f>
        <v>54.4</v>
      </c>
      <c r="BR17" s="59" t="s">
        <v>294</v>
      </c>
      <c r="BS17" s="11" t="s">
        <v>126</v>
      </c>
      <c r="BT17" s="60">
        <f>IF(Costing[[#This Row],[Minutes/Activity]]&gt;0,Costing[[#This Row],[Minutes/Activity]]*Costing[[#This Row],[Onboarding Factor]],"")</f>
        <v>838.95</v>
      </c>
      <c r="BU17" s="60">
        <f>IFERROR(Costing[[#This Row],[Onboarding Minutes]]/60,)</f>
        <v>13.9825</v>
      </c>
      <c r="BV17" s="60">
        <f t="shared" si="0"/>
        <v>79.92</v>
      </c>
      <c r="BW17" s="61">
        <f>IFERROR(VLOOKUP(Costing[[#This Row],[Onboarding Team]],Staff_Info[],4,0),"")</f>
        <v>50</v>
      </c>
      <c r="BX17" s="60">
        <f t="shared" si="1"/>
        <v>5.95</v>
      </c>
      <c r="BY17" s="55">
        <f>IFERROR(Costing[[#This Row],[Onboarding Hours]]/Costing[[#This Row],[Client Life Expectancy (Months)]]*Costing[[#This Row],[Onboarding Rate]],0)</f>
        <v>8.7478103103103102</v>
      </c>
      <c r="BZ17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167.414476976977</v>
      </c>
      <c r="CA17" s="27">
        <v>453.13</v>
      </c>
      <c r="CB17" s="63">
        <f>IFERROR((Costing[[#This Row],[Current Sales Price]]-Costing[[#This Row],[Total  Cost excl. Software]])/Costing[[#This Row],[Current Sales Price]],)</f>
        <v>0.63053764487679698</v>
      </c>
      <c r="CC17" s="64">
        <f>Costing[[#This Row],[Total  Cost excl. Software]]/(1-$CC$1)</f>
        <v>478.32707707707715</v>
      </c>
    </row>
    <row r="18" spans="1:81" x14ac:dyDescent="0.2">
      <c r="A18" s="11" t="s">
        <v>16</v>
      </c>
      <c r="B18" s="48"/>
      <c r="C18" s="17"/>
      <c r="D18" s="17"/>
      <c r="E18" s="17"/>
      <c r="F18" s="21" t="str">
        <f>IFERROR(Costing[[#This Row],[Minutes/Pay Run]]*Costing[[#This Row],[Payroll Factor]]/60,"")</f>
        <v/>
      </c>
      <c r="G18" s="54" t="str">
        <f>IFERROR(VLOOKUP(Costing[[#This Row],[Payroll Team]],Staff_Info[],4,0),"")</f>
        <v/>
      </c>
      <c r="H18" s="21" t="str">
        <f>IFERROR(VLOOKUP(Costing[[#This Row],[Payroll Frequency]],Frequency[],2,0),"")</f>
        <v/>
      </c>
      <c r="I18" s="55">
        <f>IFERROR(Costing[[#This Row],[Payroll Hours/Month]]*Costing[[#This Row],[Payroll Rate]],0)</f>
        <v>0</v>
      </c>
      <c r="J18" s="54"/>
      <c r="K18" s="11"/>
      <c r="L18" s="11"/>
      <c r="M18" s="11"/>
      <c r="N18" s="22" t="str">
        <f>IFERROR(Costing[[#This Row],[Minutes/Super]]*Costing[[#This Row],[Super Factor]]/60,"")</f>
        <v/>
      </c>
      <c r="O18" s="23" t="str">
        <f>IFERROR(VLOOKUP(Costing[[#This Row],[Super Team]],Staff_Info[],4,0),"")</f>
        <v/>
      </c>
      <c r="P18" s="22" t="str">
        <f>IFERROR(VLOOKUP(Costing[[#This Row],[Super Frequency]],Frequency[],2,0),"")</f>
        <v/>
      </c>
      <c r="Q18" s="55">
        <f>IFERROR(Costing[[#This Row],[Super Hours/Month]]*Costing[[#This Row],[Super Rate]],0)</f>
        <v>0</v>
      </c>
      <c r="R18" s="11" t="s">
        <v>177</v>
      </c>
      <c r="S18" s="11" t="s">
        <v>116</v>
      </c>
      <c r="T18" s="11" t="s">
        <v>183</v>
      </c>
      <c r="U18" s="11">
        <v>75</v>
      </c>
      <c r="V18" s="22">
        <f>IFERROR(Costing[[#This Row],[Minutes/Activity]]*Costing[[#This Row],[Bookkeeping Factor]]/60,"")</f>
        <v>1.25</v>
      </c>
      <c r="W18" s="23">
        <f>IFERROR(VLOOKUP(Costing[[#This Row],[Bookkeeping Team]],Staff_Info[],4,0),"")</f>
        <v>10</v>
      </c>
      <c r="X18" s="22">
        <f>IFERROR(VLOOKUP(Costing[[#This Row],[Bookkeeping Frequency]],Frequency[],2,0),"")</f>
        <v>1</v>
      </c>
      <c r="Y18" s="55">
        <f>IFERROR(Costing[[#This Row],[Bookkeeping Hours/Month]]*Costing[[#This Row],[Bookkeeping Rate]],0)</f>
        <v>12.5</v>
      </c>
      <c r="Z18" s="11" t="s">
        <v>178</v>
      </c>
      <c r="AA18" s="11" t="s">
        <v>119</v>
      </c>
      <c r="AB18" s="11" t="s">
        <v>183</v>
      </c>
      <c r="AC18" s="11">
        <v>15</v>
      </c>
      <c r="AD18" s="22">
        <f>IFERROR(Costing[[#This Row],[Minutes/Report]]*Costing[[#This Row],[Reporting Factor]]/60,"")</f>
        <v>0.25</v>
      </c>
      <c r="AE18" s="23">
        <f>IFERROR(VLOOKUP(Costing[[#This Row],[Reporting Team]],Staff_Info[],4,0),"")</f>
        <v>50</v>
      </c>
      <c r="AF18" s="22">
        <f>IFERROR(VLOOKUP(Costing[[#This Row],[Reporting Frequency]],Frequency[],2,0),"")</f>
        <v>1</v>
      </c>
      <c r="AG18" s="55">
        <f>IFERROR(Costing[[#This Row],[Reporting Hours/Month]]*Costing[[#This Row],[Reporting Rate]],0)</f>
        <v>12.5</v>
      </c>
      <c r="AH18" s="11"/>
      <c r="AI18" s="11"/>
      <c r="AJ18" s="11"/>
      <c r="AK18" s="11"/>
      <c r="AL18" s="22" t="str">
        <f>IFERROR(Costing[[#This Row],[Minutes/BAS 1]]*Costing[[#This Row],[BAS 1 Factor]]/60,"")</f>
        <v/>
      </c>
      <c r="AM18" s="23" t="str">
        <f>IFERROR(VLOOKUP(Costing[[#This Row],[BAS 1 Team]],Staff_Info[],4,0),"")</f>
        <v/>
      </c>
      <c r="AN18" s="22" t="str">
        <f>IFERROR(VLOOKUP(Costing[[#This Row],[BAS 1 Frequency]],Frequency[],2,0),"")</f>
        <v/>
      </c>
      <c r="AO18" s="55">
        <f>IFERROR(Costing[[#This Row],[BAS 1 Hours/Month]]*Costing[[#This Row],[BAS 1 Rate]],0)</f>
        <v>0</v>
      </c>
      <c r="AP18" s="11"/>
      <c r="AQ18" s="11"/>
      <c r="AR18" s="11"/>
      <c r="AS18" s="11"/>
      <c r="AT18" s="22" t="str">
        <f>IFERROR(Costing[[#This Row],[Minutes/BAS 2]]*Costing[[#This Row],[BAS 2 Factor]]/60,"")</f>
        <v/>
      </c>
      <c r="AU18" s="23" t="str">
        <f>IFERROR(VLOOKUP(Costing[[#This Row],[BAS 2 Team]],Staff_Info[],4,0),"")</f>
        <v/>
      </c>
      <c r="AV18" s="22" t="str">
        <f>IFERROR(VLOOKUP(Costing[[#This Row],[BAS 2 Frequency]],Frequency[],2,0),"")</f>
        <v/>
      </c>
      <c r="AW18" s="55">
        <f>IFERROR(Costing[[#This Row],[BAS 2 Hours/Month]]*Costing[[#This Row],[BAS 2 Rate]],0)</f>
        <v>0</v>
      </c>
      <c r="AX18" s="11"/>
      <c r="AY18" s="11"/>
      <c r="AZ18" s="11"/>
      <c r="BA18" s="11"/>
      <c r="BB18" s="22" t="str">
        <f>IFERROR(Costing[[#This Row],[Minutes/IAS]]*Costing[[#This Row],[IAS Factor]]/60,"")</f>
        <v/>
      </c>
      <c r="BC18" s="23" t="str">
        <f>IFERROR(VLOOKUP(Costing[[#This Row],[IAS Team]],Staff_Info[],4,0),"")</f>
        <v/>
      </c>
      <c r="BD18" s="22" t="str">
        <f>IFERROR(VLOOKUP(Costing[[#This Row],[IAS Frequency]],Frequency[],2,0),"")</f>
        <v/>
      </c>
      <c r="BE18" s="56">
        <f>IFERROR(Costing[[#This Row],[IAS Hours/Month]]*Costing[[#This Row],[IAS Rate]],0)</f>
        <v>0</v>
      </c>
      <c r="BF18" s="11" t="s">
        <v>182</v>
      </c>
      <c r="BG18" s="11" t="s">
        <v>115</v>
      </c>
      <c r="BH18" s="11">
        <v>30</v>
      </c>
      <c r="BI18" s="23">
        <f>IFERROR(VLOOKUP(Costing[[#This Row],[EOFY Team 1]],Staff_Info[],4,0),"")</f>
        <v>10</v>
      </c>
      <c r="BJ18" s="57">
        <f>Costing[[#This Row],[Time Min 1]]/12</f>
        <v>2.5</v>
      </c>
      <c r="BK18" s="11" t="s">
        <v>119</v>
      </c>
      <c r="BL18" s="11">
        <v>30</v>
      </c>
      <c r="BM18" s="23">
        <f>IFERROR(VLOOKUP(Costing[[#This Row],[EOFY Team 2]],Staff_Info[],4,0),"")</f>
        <v>50</v>
      </c>
      <c r="BN18" s="57">
        <f>Costing[[#This Row],[Time Min 2]]/12</f>
        <v>2.5</v>
      </c>
      <c r="BO18" s="55">
        <f>IFERROR((Costing[[#This Row],[EOFY 1 Min/Month]]/60*Costing[[#This Row],[EOFY Team 1 Rate]])+(Costing[[#This Row],[EOFY 2 Min/Month]]/60*Costing[[#This Row],[EOFY Team 2 Rate]]),0)</f>
        <v>2.4999999999999996</v>
      </c>
      <c r="BP18" s="11" t="s">
        <v>163</v>
      </c>
      <c r="BQ18" s="55">
        <f>IFERROR(VLOOKUP(Costing[[#This Row],[Software Name]],Software[],2,0),0)</f>
        <v>36.36</v>
      </c>
      <c r="BR18" s="59" t="s">
        <v>294</v>
      </c>
      <c r="BS18" s="11" t="s">
        <v>119</v>
      </c>
      <c r="BT18" s="60">
        <f>IF(Costing[[#This Row],[Minutes/Activity]]&gt;0,Costing[[#This Row],[Minutes/Activity]]*Costing[[#This Row],[Onboarding Factor]],"")</f>
        <v>446.25</v>
      </c>
      <c r="BU18" s="60">
        <f>IFERROR(Costing[[#This Row],[Onboarding Minutes]]/60,)</f>
        <v>7.4375</v>
      </c>
      <c r="BV18" s="60">
        <f t="shared" si="0"/>
        <v>79.92</v>
      </c>
      <c r="BW18" s="61">
        <f>IFERROR(VLOOKUP(Costing[[#This Row],[Onboarding Team]],Staff_Info[],4,0),"")</f>
        <v>50</v>
      </c>
      <c r="BX18" s="60">
        <f t="shared" si="1"/>
        <v>5.95</v>
      </c>
      <c r="BY18" s="55">
        <f>IFERROR(Costing[[#This Row],[Onboarding Hours]]/Costing[[#This Row],[Client Life Expectancy (Months)]]*Costing[[#This Row],[Onboarding Rate]],0)</f>
        <v>4.6530905905905904</v>
      </c>
      <c r="BZ18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32.153090590590594</v>
      </c>
      <c r="CA18" s="27">
        <v>52.5</v>
      </c>
      <c r="CB18" s="63">
        <f>IFERROR((Costing[[#This Row],[Current Sales Price]]-Costing[[#This Row],[Total  Cost excl. Software]])/Costing[[#This Row],[Current Sales Price]],)</f>
        <v>0.38756017922684582</v>
      </c>
      <c r="CC18" s="64">
        <f>Costing[[#This Row],[Total  Cost excl. Software]]/(1-$CC$1)</f>
        <v>91.865973115973134</v>
      </c>
    </row>
    <row r="19" spans="1:81" x14ac:dyDescent="0.2">
      <c r="A19" s="11" t="s">
        <v>17</v>
      </c>
      <c r="B19" s="48" t="s">
        <v>145</v>
      </c>
      <c r="C19" s="17" t="s">
        <v>118</v>
      </c>
      <c r="D19" s="17" t="s">
        <v>154</v>
      </c>
      <c r="E19" s="17">
        <v>20</v>
      </c>
      <c r="F19" s="21">
        <f>IFERROR(Costing[[#This Row],[Minutes/Pay Run]]*Costing[[#This Row],[Payroll Factor]]/60,"")</f>
        <v>1.4444444444444442</v>
      </c>
      <c r="G19" s="54">
        <f>IFERROR(VLOOKUP(Costing[[#This Row],[Payroll Team]],Staff_Info[],4,0),"")</f>
        <v>10</v>
      </c>
      <c r="H19" s="21">
        <f>IFERROR(VLOOKUP(Costing[[#This Row],[Payroll Frequency]],Frequency[],2,0),"")</f>
        <v>4.333333333333333</v>
      </c>
      <c r="I19" s="55">
        <f>IFERROR(Costing[[#This Row],[Payroll Hours/Month]]*Costing[[#This Row],[Payroll Rate]],0)</f>
        <v>14.444444444444443</v>
      </c>
      <c r="J19" s="54" t="s">
        <v>176</v>
      </c>
      <c r="K19" s="11" t="s">
        <v>118</v>
      </c>
      <c r="L19" s="11" t="s">
        <v>183</v>
      </c>
      <c r="M19" s="11">
        <v>20</v>
      </c>
      <c r="N19" s="22">
        <f>IFERROR(Costing[[#This Row],[Minutes/Super]]*Costing[[#This Row],[Super Factor]]/60,"")</f>
        <v>0.33333333333333331</v>
      </c>
      <c r="O19" s="23">
        <f>IFERROR(VLOOKUP(Costing[[#This Row],[Super Team]],Staff_Info[],4,0),"")</f>
        <v>10</v>
      </c>
      <c r="P19" s="22">
        <f>IFERROR(VLOOKUP(Costing[[#This Row],[Super Frequency]],Frequency[],2,0),"")</f>
        <v>1</v>
      </c>
      <c r="Q19" s="55">
        <f>IFERROR(Costing[[#This Row],[Super Hours/Month]]*Costing[[#This Row],[Super Rate]],0)</f>
        <v>3.333333333333333</v>
      </c>
      <c r="R19" s="11" t="s">
        <v>177</v>
      </c>
      <c r="S19" s="11" t="s">
        <v>118</v>
      </c>
      <c r="T19" s="11" t="s">
        <v>183</v>
      </c>
      <c r="U19" s="11">
        <v>200</v>
      </c>
      <c r="V19" s="22">
        <f>IFERROR(Costing[[#This Row],[Minutes/Activity]]*Costing[[#This Row],[Bookkeeping Factor]]/60,"")</f>
        <v>3.3333333333333335</v>
      </c>
      <c r="W19" s="23">
        <f>IFERROR(VLOOKUP(Costing[[#This Row],[Bookkeeping Team]],Staff_Info[],4,0),"")</f>
        <v>10</v>
      </c>
      <c r="X19" s="22">
        <f>IFERROR(VLOOKUP(Costing[[#This Row],[Bookkeeping Frequency]],Frequency[],2,0),"")</f>
        <v>1</v>
      </c>
      <c r="Y19" s="55">
        <f>IFERROR(Costing[[#This Row],[Bookkeeping Hours/Month]]*Costing[[#This Row],[Bookkeeping Rate]],0)</f>
        <v>33.333333333333336</v>
      </c>
      <c r="Z19" s="11" t="s">
        <v>178</v>
      </c>
      <c r="AA19" s="11" t="s">
        <v>126</v>
      </c>
      <c r="AB19" s="11" t="s">
        <v>183</v>
      </c>
      <c r="AC19" s="11">
        <v>150</v>
      </c>
      <c r="AD19" s="22">
        <f>IFERROR(Costing[[#This Row],[Minutes/Report]]*Costing[[#This Row],[Reporting Factor]]/60,"")</f>
        <v>2.5</v>
      </c>
      <c r="AE19" s="23">
        <f>IFERROR(VLOOKUP(Costing[[#This Row],[Reporting Team]],Staff_Info[],4,0),"")</f>
        <v>50</v>
      </c>
      <c r="AF19" s="22">
        <f>IFERROR(VLOOKUP(Costing[[#This Row],[Reporting Frequency]],Frequency[],2,0),"")</f>
        <v>1</v>
      </c>
      <c r="AG19" s="55">
        <f>IFERROR(Costing[[#This Row],[Reporting Hours/Month]]*Costing[[#This Row],[Reporting Rate]],0)</f>
        <v>125</v>
      </c>
      <c r="AH19" s="11" t="s">
        <v>179</v>
      </c>
      <c r="AI19" s="11" t="s">
        <v>118</v>
      </c>
      <c r="AJ19" s="11" t="s">
        <v>157</v>
      </c>
      <c r="AK19" s="11">
        <v>60</v>
      </c>
      <c r="AL19" s="22">
        <f>IFERROR(Costing[[#This Row],[Minutes/BAS 1]]*Costing[[#This Row],[BAS 1 Factor]]/60,"")</f>
        <v>0.33333333333333331</v>
      </c>
      <c r="AM19" s="23">
        <f>IFERROR(VLOOKUP(Costing[[#This Row],[BAS 1 Team]],Staff_Info[],4,0),"")</f>
        <v>10</v>
      </c>
      <c r="AN19" s="22">
        <f>IFERROR(VLOOKUP(Costing[[#This Row],[BAS 1 Frequency]],Frequency[],2,0),"")</f>
        <v>0.33333333333333331</v>
      </c>
      <c r="AO19" s="55">
        <f>IFERROR(Costing[[#This Row],[BAS 1 Hours/Month]]*Costing[[#This Row],[BAS 1 Rate]],0)</f>
        <v>3.333333333333333</v>
      </c>
      <c r="AP19" s="11" t="s">
        <v>180</v>
      </c>
      <c r="AQ19" s="11" t="s">
        <v>117</v>
      </c>
      <c r="AR19" s="11" t="s">
        <v>157</v>
      </c>
      <c r="AS19" s="11">
        <v>15</v>
      </c>
      <c r="AT19" s="22">
        <f>IFERROR(Costing[[#This Row],[Minutes/BAS 2]]*Costing[[#This Row],[BAS 2 Factor]]/60,"")</f>
        <v>8.3333333333333329E-2</v>
      </c>
      <c r="AU19" s="23">
        <f>IFERROR(VLOOKUP(Costing[[#This Row],[BAS 2 Team]],Staff_Info[],4,0),"")</f>
        <v>30</v>
      </c>
      <c r="AV19" s="22">
        <f>IFERROR(VLOOKUP(Costing[[#This Row],[BAS 2 Frequency]],Frequency[],2,0),"")</f>
        <v>0.33333333333333331</v>
      </c>
      <c r="AW19" s="55">
        <f>IFERROR(Costing[[#This Row],[BAS 2 Hours/Month]]*Costing[[#This Row],[BAS 2 Rate]],0)</f>
        <v>2.5</v>
      </c>
      <c r="AX19" s="11" t="s">
        <v>181</v>
      </c>
      <c r="AY19" s="11" t="s">
        <v>117</v>
      </c>
      <c r="AZ19" s="11" t="s">
        <v>183</v>
      </c>
      <c r="BA19" s="11">
        <v>30</v>
      </c>
      <c r="BB19" s="22">
        <f>IFERROR(Costing[[#This Row],[Minutes/IAS]]*Costing[[#This Row],[IAS Factor]]/60,"")</f>
        <v>0.5</v>
      </c>
      <c r="BC19" s="23">
        <f>IFERROR(VLOOKUP(Costing[[#This Row],[IAS Team]],Staff_Info[],4,0),"")</f>
        <v>30</v>
      </c>
      <c r="BD19" s="22">
        <f>IFERROR(VLOOKUP(Costing[[#This Row],[IAS Frequency]],Frequency[],2,0),"")</f>
        <v>1</v>
      </c>
      <c r="BE19" s="56">
        <f>IFERROR(Costing[[#This Row],[IAS Hours/Month]]*Costing[[#This Row],[IAS Rate]],0)</f>
        <v>15</v>
      </c>
      <c r="BF19" s="11" t="s">
        <v>182</v>
      </c>
      <c r="BG19" s="11" t="s">
        <v>118</v>
      </c>
      <c r="BH19" s="11">
        <v>120</v>
      </c>
      <c r="BI19" s="23">
        <f>IFERROR(VLOOKUP(Costing[[#This Row],[EOFY Team 1]],Staff_Info[],4,0),"")</f>
        <v>10</v>
      </c>
      <c r="BJ19" s="57">
        <f>Costing[[#This Row],[Time Min 1]]/12</f>
        <v>10</v>
      </c>
      <c r="BK19" s="11" t="s">
        <v>126</v>
      </c>
      <c r="BL19" s="11">
        <v>120</v>
      </c>
      <c r="BM19" s="23">
        <f>IFERROR(VLOOKUP(Costing[[#This Row],[EOFY Team 2]],Staff_Info[],4,0),"")</f>
        <v>50</v>
      </c>
      <c r="BN19" s="57">
        <f>Costing[[#This Row],[Time Min 2]]/12</f>
        <v>10</v>
      </c>
      <c r="BO19" s="55">
        <f>IFERROR((Costing[[#This Row],[EOFY 1 Min/Month]]/60*Costing[[#This Row],[EOFY Team 1 Rate]])+(Costing[[#This Row],[EOFY 2 Min/Month]]/60*Costing[[#This Row],[EOFY Team 2 Rate]]),0)</f>
        <v>9.9999999999999982</v>
      </c>
      <c r="BP19" s="11" t="s">
        <v>165</v>
      </c>
      <c r="BQ19" s="55">
        <f>IFERROR(VLOOKUP(Costing[[#This Row],[Software Name]],Software[],2,0),0)</f>
        <v>54.4</v>
      </c>
      <c r="BR19" s="59" t="s">
        <v>294</v>
      </c>
      <c r="BS19" s="11" t="s">
        <v>126</v>
      </c>
      <c r="BT19" s="60">
        <f>IF(Costing[[#This Row],[Minutes/Activity]]&gt;0,Costing[[#This Row],[Minutes/Activity]]*Costing[[#This Row],[Onboarding Factor]],"")</f>
        <v>1190</v>
      </c>
      <c r="BU19" s="60">
        <f>IFERROR(Costing[[#This Row],[Onboarding Minutes]]/60,)</f>
        <v>19.833333333333332</v>
      </c>
      <c r="BV19" s="60">
        <f t="shared" si="0"/>
        <v>79.92</v>
      </c>
      <c r="BW19" s="61">
        <f>IFERROR(VLOOKUP(Costing[[#This Row],[Onboarding Team]],Staff_Info[],4,0),"")</f>
        <v>50</v>
      </c>
      <c r="BX19" s="60">
        <f t="shared" si="1"/>
        <v>5.95</v>
      </c>
      <c r="BY19" s="55">
        <f>IFERROR(Costing[[#This Row],[Onboarding Hours]]/Costing[[#This Row],[Client Life Expectancy (Months)]]*Costing[[#This Row],[Onboarding Rate]],0)</f>
        <v>12.40824157490824</v>
      </c>
      <c r="BZ19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219.35268601935269</v>
      </c>
      <c r="CA19" s="27">
        <v>1206.8800000000001</v>
      </c>
      <c r="CB19" s="63">
        <f>IFERROR((Costing[[#This Row],[Current Sales Price]]-Costing[[#This Row],[Total  Cost excl. Software]])/Costing[[#This Row],[Current Sales Price]],)</f>
        <v>0.81824813898701398</v>
      </c>
      <c r="CC19" s="64">
        <f>Costing[[#This Row],[Total  Cost excl. Software]]/(1-$CC$1)</f>
        <v>626.72196005529338</v>
      </c>
    </row>
    <row r="20" spans="1:81" x14ac:dyDescent="0.2">
      <c r="A20" s="11" t="s">
        <v>18</v>
      </c>
      <c r="B20" s="48"/>
      <c r="C20" s="17"/>
      <c r="D20" s="17"/>
      <c r="E20" s="17"/>
      <c r="F20" s="21" t="str">
        <f>IFERROR(Costing[[#This Row],[Minutes/Pay Run]]*Costing[[#This Row],[Payroll Factor]]/60,"")</f>
        <v/>
      </c>
      <c r="G20" s="54" t="str">
        <f>IFERROR(VLOOKUP(Costing[[#This Row],[Payroll Team]],Staff_Info[],4,0),"")</f>
        <v/>
      </c>
      <c r="H20" s="21" t="str">
        <f>IFERROR(VLOOKUP(Costing[[#This Row],[Payroll Frequency]],Frequency[],2,0),"")</f>
        <v/>
      </c>
      <c r="I20" s="55">
        <f>IFERROR(Costing[[#This Row],[Payroll Hours/Month]]*Costing[[#This Row],[Payroll Rate]],0)</f>
        <v>0</v>
      </c>
      <c r="J20" s="54"/>
      <c r="K20" s="11"/>
      <c r="L20" s="11"/>
      <c r="M20" s="11"/>
      <c r="N20" s="22" t="str">
        <f>IFERROR(Costing[[#This Row],[Minutes/Super]]*Costing[[#This Row],[Super Factor]]/60,"")</f>
        <v/>
      </c>
      <c r="O20" s="23" t="str">
        <f>IFERROR(VLOOKUP(Costing[[#This Row],[Super Team]],Staff_Info[],4,0),"")</f>
        <v/>
      </c>
      <c r="P20" s="22" t="str">
        <f>IFERROR(VLOOKUP(Costing[[#This Row],[Super Frequency]],Frequency[],2,0),"")</f>
        <v/>
      </c>
      <c r="Q20" s="55">
        <f>IFERROR(Costing[[#This Row],[Super Hours/Month]]*Costing[[#This Row],[Super Rate]],0)</f>
        <v>0</v>
      </c>
      <c r="R20" s="11" t="s">
        <v>177</v>
      </c>
      <c r="S20" s="11" t="s">
        <v>118</v>
      </c>
      <c r="T20" s="11" t="s">
        <v>183</v>
      </c>
      <c r="U20" s="11">
        <v>30</v>
      </c>
      <c r="V20" s="22">
        <f>IFERROR(Costing[[#This Row],[Minutes/Activity]]*Costing[[#This Row],[Bookkeeping Factor]]/60,"")</f>
        <v>0.5</v>
      </c>
      <c r="W20" s="23">
        <f>IFERROR(VLOOKUP(Costing[[#This Row],[Bookkeeping Team]],Staff_Info[],4,0),"")</f>
        <v>10</v>
      </c>
      <c r="X20" s="22">
        <f>IFERROR(VLOOKUP(Costing[[#This Row],[Bookkeeping Frequency]],Frequency[],2,0),"")</f>
        <v>1</v>
      </c>
      <c r="Y20" s="55">
        <f>IFERROR(Costing[[#This Row],[Bookkeeping Hours/Month]]*Costing[[#This Row],[Bookkeeping Rate]],0)</f>
        <v>5</v>
      </c>
      <c r="Z20" s="11"/>
      <c r="AA20" s="11"/>
      <c r="AB20" s="11"/>
      <c r="AC20" s="11"/>
      <c r="AD20" s="22" t="str">
        <f>IFERROR(Costing[[#This Row],[Minutes/Report]]*Costing[[#This Row],[Reporting Factor]]/60,"")</f>
        <v/>
      </c>
      <c r="AE20" s="23" t="str">
        <f>IFERROR(VLOOKUP(Costing[[#This Row],[Reporting Team]],Staff_Info[],4,0),"")</f>
        <v/>
      </c>
      <c r="AF20" s="22" t="str">
        <f>IFERROR(VLOOKUP(Costing[[#This Row],[Reporting Frequency]],Frequency[],2,0),"")</f>
        <v/>
      </c>
      <c r="AG20" s="55">
        <f>IFERROR(Costing[[#This Row],[Reporting Hours/Month]]*Costing[[#This Row],[Reporting Rate]],0)</f>
        <v>0</v>
      </c>
      <c r="AH20" s="11" t="s">
        <v>179</v>
      </c>
      <c r="AI20" s="11" t="s">
        <v>118</v>
      </c>
      <c r="AJ20" s="11" t="s">
        <v>157</v>
      </c>
      <c r="AK20" s="11">
        <v>60</v>
      </c>
      <c r="AL20" s="22">
        <f>IFERROR(Costing[[#This Row],[Minutes/BAS 1]]*Costing[[#This Row],[BAS 1 Factor]]/60,"")</f>
        <v>0.33333333333333331</v>
      </c>
      <c r="AM20" s="23">
        <f>IFERROR(VLOOKUP(Costing[[#This Row],[BAS 1 Team]],Staff_Info[],4,0),"")</f>
        <v>10</v>
      </c>
      <c r="AN20" s="22">
        <f>IFERROR(VLOOKUP(Costing[[#This Row],[BAS 1 Frequency]],Frequency[],2,0),"")</f>
        <v>0.33333333333333331</v>
      </c>
      <c r="AO20" s="55">
        <f>IFERROR(Costing[[#This Row],[BAS 1 Hours/Month]]*Costing[[#This Row],[BAS 1 Rate]],0)</f>
        <v>3.333333333333333</v>
      </c>
      <c r="AP20" s="11" t="s">
        <v>180</v>
      </c>
      <c r="AQ20" s="11" t="s">
        <v>117</v>
      </c>
      <c r="AR20" s="11" t="s">
        <v>157</v>
      </c>
      <c r="AS20" s="11">
        <v>15</v>
      </c>
      <c r="AT20" s="22">
        <f>IFERROR(Costing[[#This Row],[Minutes/BAS 2]]*Costing[[#This Row],[BAS 2 Factor]]/60,"")</f>
        <v>8.3333333333333329E-2</v>
      </c>
      <c r="AU20" s="23">
        <f>IFERROR(VLOOKUP(Costing[[#This Row],[BAS 2 Team]],Staff_Info[],4,0),"")</f>
        <v>30</v>
      </c>
      <c r="AV20" s="22">
        <f>IFERROR(VLOOKUP(Costing[[#This Row],[BAS 2 Frequency]],Frequency[],2,0),"")</f>
        <v>0.33333333333333331</v>
      </c>
      <c r="AW20" s="55">
        <f>IFERROR(Costing[[#This Row],[BAS 2 Hours/Month]]*Costing[[#This Row],[BAS 2 Rate]],0)</f>
        <v>2.5</v>
      </c>
      <c r="AX20" s="11"/>
      <c r="AY20" s="11"/>
      <c r="AZ20" s="11"/>
      <c r="BA20" s="11"/>
      <c r="BB20" s="22" t="str">
        <f>IFERROR(Costing[[#This Row],[Minutes/IAS]]*Costing[[#This Row],[IAS Factor]]/60,"")</f>
        <v/>
      </c>
      <c r="BC20" s="23" t="str">
        <f>IFERROR(VLOOKUP(Costing[[#This Row],[IAS Team]],Staff_Info[],4,0),"")</f>
        <v/>
      </c>
      <c r="BD20" s="22" t="str">
        <f>IFERROR(VLOOKUP(Costing[[#This Row],[IAS Frequency]],Frequency[],2,0),"")</f>
        <v/>
      </c>
      <c r="BE20" s="56">
        <f>IFERROR(Costing[[#This Row],[IAS Hours/Month]]*Costing[[#This Row],[IAS Rate]],0)</f>
        <v>0</v>
      </c>
      <c r="BF20" s="11"/>
      <c r="BG20" s="11"/>
      <c r="BH20" s="11"/>
      <c r="BI20" s="23" t="str">
        <f>IFERROR(VLOOKUP(Costing[[#This Row],[EOFY Team 1]],Staff_Info[],4,0),"")</f>
        <v/>
      </c>
      <c r="BJ20" s="57">
        <f>Costing[[#This Row],[Time Min 1]]/12</f>
        <v>0</v>
      </c>
      <c r="BK20" s="11"/>
      <c r="BL20" s="11"/>
      <c r="BM20" s="23" t="str">
        <f>IFERROR(VLOOKUP(Costing[[#This Row],[EOFY Team 2]],Staff_Info[],4,0),"")</f>
        <v/>
      </c>
      <c r="BN20" s="57">
        <f>Costing[[#This Row],[Time Min 2]]/12</f>
        <v>0</v>
      </c>
      <c r="BO20" s="55">
        <f>IFERROR((Costing[[#This Row],[EOFY 1 Min/Month]]/60*Costing[[#This Row],[EOFY Team 1 Rate]])+(Costing[[#This Row],[EOFY 2 Min/Month]]/60*Costing[[#This Row],[EOFY Team 2 Rate]]),0)</f>
        <v>0</v>
      </c>
      <c r="BP20" s="11" t="s">
        <v>163</v>
      </c>
      <c r="BQ20" s="55">
        <f>IFERROR(VLOOKUP(Costing[[#This Row],[Software Name]],Software[],2,0),0)</f>
        <v>36.36</v>
      </c>
      <c r="BR20" s="59" t="s">
        <v>294</v>
      </c>
      <c r="BS20" s="11" t="s">
        <v>126</v>
      </c>
      <c r="BT20" s="60">
        <f>IF(Costing[[#This Row],[Minutes/Activity]]&gt;0,Costing[[#This Row],[Minutes/Activity]]*Costing[[#This Row],[Onboarding Factor]],"")</f>
        <v>178.5</v>
      </c>
      <c r="BU20" s="60">
        <f>IFERROR(Costing[[#This Row],[Onboarding Minutes]]/60,)</f>
        <v>2.9750000000000001</v>
      </c>
      <c r="BV20" s="60">
        <f t="shared" si="0"/>
        <v>79.92</v>
      </c>
      <c r="BW20" s="61">
        <f>IFERROR(VLOOKUP(Costing[[#This Row],[Onboarding Team]],Staff_Info[],4,0),"")</f>
        <v>50</v>
      </c>
      <c r="BX20" s="60">
        <f t="shared" si="1"/>
        <v>5.95</v>
      </c>
      <c r="BY20" s="55">
        <f>IFERROR(Costing[[#This Row],[Onboarding Hours]]/Costing[[#This Row],[Client Life Expectancy (Months)]]*Costing[[#This Row],[Onboarding Rate]],0)</f>
        <v>1.8612362362362362</v>
      </c>
      <c r="BZ20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12.694569569569568</v>
      </c>
      <c r="CA20" s="27"/>
      <c r="CB20" s="63">
        <f>IFERROR((Costing[[#This Row],[Current Sales Price]]-Costing[[#This Row],[Total  Cost excl. Software]])/Costing[[#This Row],[Current Sales Price]],)</f>
        <v>0</v>
      </c>
      <c r="CC20" s="64">
        <f>Costing[[#This Row],[Total  Cost excl. Software]]/(1-$CC$1)</f>
        <v>36.270198770198768</v>
      </c>
    </row>
    <row r="21" spans="1:81" x14ac:dyDescent="0.2">
      <c r="A21" s="11" t="s">
        <v>19</v>
      </c>
      <c r="B21" s="48"/>
      <c r="C21" s="17"/>
      <c r="D21" s="17"/>
      <c r="E21" s="17"/>
      <c r="F21" s="21" t="str">
        <f>IFERROR(Costing[[#This Row],[Minutes/Pay Run]]*Costing[[#This Row],[Payroll Factor]]/60,"")</f>
        <v/>
      </c>
      <c r="G21" s="54" t="str">
        <f>IFERROR(VLOOKUP(Costing[[#This Row],[Payroll Team]],Staff_Info[],4,0),"")</f>
        <v/>
      </c>
      <c r="H21" s="21" t="str">
        <f>IFERROR(VLOOKUP(Costing[[#This Row],[Payroll Frequency]],Frequency[],2,0),"")</f>
        <v/>
      </c>
      <c r="I21" s="55">
        <f>IFERROR(Costing[[#This Row],[Payroll Hours/Month]]*Costing[[#This Row],[Payroll Rate]],0)</f>
        <v>0</v>
      </c>
      <c r="J21" s="54"/>
      <c r="K21" s="11"/>
      <c r="L21" s="11"/>
      <c r="M21" s="11"/>
      <c r="N21" s="22" t="str">
        <f>IFERROR(Costing[[#This Row],[Minutes/Super]]*Costing[[#This Row],[Super Factor]]/60,"")</f>
        <v/>
      </c>
      <c r="O21" s="23" t="str">
        <f>IFERROR(VLOOKUP(Costing[[#This Row],[Super Team]],Staff_Info[],4,0),"")</f>
        <v/>
      </c>
      <c r="P21" s="22" t="str">
        <f>IFERROR(VLOOKUP(Costing[[#This Row],[Super Frequency]],Frequency[],2,0),"")</f>
        <v/>
      </c>
      <c r="Q21" s="55">
        <f>IFERROR(Costing[[#This Row],[Super Hours/Month]]*Costing[[#This Row],[Super Rate]],0)</f>
        <v>0</v>
      </c>
      <c r="R21" s="11" t="s">
        <v>177</v>
      </c>
      <c r="S21" s="11" t="s">
        <v>115</v>
      </c>
      <c r="T21" s="11" t="s">
        <v>157</v>
      </c>
      <c r="U21" s="11">
        <v>60</v>
      </c>
      <c r="V21" s="22">
        <f>IFERROR(Costing[[#This Row],[Minutes/Activity]]*Costing[[#This Row],[Bookkeeping Factor]]/60,"")</f>
        <v>0.33333333333333331</v>
      </c>
      <c r="W21" s="23">
        <f>IFERROR(VLOOKUP(Costing[[#This Row],[Bookkeeping Team]],Staff_Info[],4,0),"")</f>
        <v>10</v>
      </c>
      <c r="X21" s="22">
        <f>IFERROR(VLOOKUP(Costing[[#This Row],[Bookkeeping Frequency]],Frequency[],2,0),"")</f>
        <v>0.33333333333333331</v>
      </c>
      <c r="Y21" s="55">
        <f>IFERROR(Costing[[#This Row],[Bookkeeping Hours/Month]]*Costing[[#This Row],[Bookkeeping Rate]],0)</f>
        <v>3.333333333333333</v>
      </c>
      <c r="Z21" s="11" t="s">
        <v>178</v>
      </c>
      <c r="AA21" s="11" t="s">
        <v>115</v>
      </c>
      <c r="AB21" s="11" t="s">
        <v>157</v>
      </c>
      <c r="AC21" s="11">
        <v>15</v>
      </c>
      <c r="AD21" s="22">
        <f>IFERROR(Costing[[#This Row],[Minutes/Report]]*Costing[[#This Row],[Reporting Factor]]/60,"")</f>
        <v>8.3333333333333329E-2</v>
      </c>
      <c r="AE21" s="23">
        <f>IFERROR(VLOOKUP(Costing[[#This Row],[Reporting Team]],Staff_Info[],4,0),"")</f>
        <v>10</v>
      </c>
      <c r="AF21" s="22">
        <f>IFERROR(VLOOKUP(Costing[[#This Row],[Reporting Frequency]],Frequency[],2,0),"")</f>
        <v>0.33333333333333331</v>
      </c>
      <c r="AG21" s="55">
        <f>IFERROR(Costing[[#This Row],[Reporting Hours/Month]]*Costing[[#This Row],[Reporting Rate]],0)</f>
        <v>0.83333333333333326</v>
      </c>
      <c r="AH21" s="11"/>
      <c r="AI21" s="11"/>
      <c r="AJ21" s="11"/>
      <c r="AK21" s="11"/>
      <c r="AL21" s="22" t="str">
        <f>IFERROR(Costing[[#This Row],[Minutes/BAS 1]]*Costing[[#This Row],[BAS 1 Factor]]/60,"")</f>
        <v/>
      </c>
      <c r="AM21" s="23" t="str">
        <f>IFERROR(VLOOKUP(Costing[[#This Row],[BAS 1 Team]],Staff_Info[],4,0),"")</f>
        <v/>
      </c>
      <c r="AN21" s="22" t="str">
        <f>IFERROR(VLOOKUP(Costing[[#This Row],[BAS 1 Frequency]],Frequency[],2,0),"")</f>
        <v/>
      </c>
      <c r="AO21" s="55">
        <f>IFERROR(Costing[[#This Row],[BAS 1 Hours/Month]]*Costing[[#This Row],[BAS 1 Rate]],0)</f>
        <v>0</v>
      </c>
      <c r="AP21" s="11" t="s">
        <v>180</v>
      </c>
      <c r="AQ21" s="11" t="s">
        <v>117</v>
      </c>
      <c r="AR21" s="11" t="s">
        <v>157</v>
      </c>
      <c r="AS21" s="11">
        <v>15</v>
      </c>
      <c r="AT21" s="22">
        <f>IFERROR(Costing[[#This Row],[Minutes/BAS 2]]*Costing[[#This Row],[BAS 2 Factor]]/60,"")</f>
        <v>8.3333333333333329E-2</v>
      </c>
      <c r="AU21" s="23">
        <f>IFERROR(VLOOKUP(Costing[[#This Row],[BAS 2 Team]],Staff_Info[],4,0),"")</f>
        <v>30</v>
      </c>
      <c r="AV21" s="22">
        <f>IFERROR(VLOOKUP(Costing[[#This Row],[BAS 2 Frequency]],Frequency[],2,0),"")</f>
        <v>0.33333333333333331</v>
      </c>
      <c r="AW21" s="55">
        <f>IFERROR(Costing[[#This Row],[BAS 2 Hours/Month]]*Costing[[#This Row],[BAS 2 Rate]],0)</f>
        <v>2.5</v>
      </c>
      <c r="AX21" s="11"/>
      <c r="AY21" s="11"/>
      <c r="AZ21" s="11"/>
      <c r="BA21" s="11"/>
      <c r="BB21" s="22" t="str">
        <f>IFERROR(Costing[[#This Row],[Minutes/IAS]]*Costing[[#This Row],[IAS Factor]]/60,"")</f>
        <v/>
      </c>
      <c r="BC21" s="23" t="str">
        <f>IFERROR(VLOOKUP(Costing[[#This Row],[IAS Team]],Staff_Info[],4,0),"")</f>
        <v/>
      </c>
      <c r="BD21" s="22" t="str">
        <f>IFERROR(VLOOKUP(Costing[[#This Row],[IAS Frequency]],Frequency[],2,0),"")</f>
        <v/>
      </c>
      <c r="BE21" s="56">
        <f>IFERROR(Costing[[#This Row],[IAS Hours/Month]]*Costing[[#This Row],[IAS Rate]],0)</f>
        <v>0</v>
      </c>
      <c r="BF21" s="11" t="s">
        <v>182</v>
      </c>
      <c r="BG21" s="11" t="s">
        <v>115</v>
      </c>
      <c r="BH21" s="11">
        <v>60</v>
      </c>
      <c r="BI21" s="23">
        <f>IFERROR(VLOOKUP(Costing[[#This Row],[EOFY Team 1]],Staff_Info[],4,0),"")</f>
        <v>10</v>
      </c>
      <c r="BJ21" s="57">
        <f>Costing[[#This Row],[Time Min 1]]/12</f>
        <v>5</v>
      </c>
      <c r="BK21" s="11" t="s">
        <v>119</v>
      </c>
      <c r="BL21" s="11">
        <v>60</v>
      </c>
      <c r="BM21" s="23">
        <f>IFERROR(VLOOKUP(Costing[[#This Row],[EOFY Team 2]],Staff_Info[],4,0),"")</f>
        <v>50</v>
      </c>
      <c r="BN21" s="57">
        <f>Costing[[#This Row],[Time Min 2]]/12</f>
        <v>5</v>
      </c>
      <c r="BO21" s="55">
        <f>IFERROR((Costing[[#This Row],[EOFY 1 Min/Month]]/60*Costing[[#This Row],[EOFY Team 1 Rate]])+(Costing[[#This Row],[EOFY 2 Min/Month]]/60*Costing[[#This Row],[EOFY Team 2 Rate]]),0)</f>
        <v>4.9999999999999991</v>
      </c>
      <c r="BP21" s="11" t="s">
        <v>160</v>
      </c>
      <c r="BQ21" s="55">
        <f>IFERROR(VLOOKUP(Costing[[#This Row],[Software Name]],Software[],2,0),0)</f>
        <v>9.09</v>
      </c>
      <c r="BR21" s="59" t="s">
        <v>294</v>
      </c>
      <c r="BS21" s="11" t="s">
        <v>119</v>
      </c>
      <c r="BT21" s="60">
        <f>IF(Costing[[#This Row],[Minutes/Activity]]&gt;0,Costing[[#This Row],[Minutes/Activity]]*Costing[[#This Row],[Onboarding Factor]],"")</f>
        <v>357</v>
      </c>
      <c r="BU21" s="60">
        <f>IFERROR(Costing[[#This Row],[Onboarding Minutes]]/60,)</f>
        <v>5.95</v>
      </c>
      <c r="BV21" s="60">
        <f t="shared" si="0"/>
        <v>79.92</v>
      </c>
      <c r="BW21" s="61">
        <f>IFERROR(VLOOKUP(Costing[[#This Row],[Onboarding Team]],Staff_Info[],4,0),"")</f>
        <v>50</v>
      </c>
      <c r="BX21" s="60">
        <f t="shared" si="1"/>
        <v>5.95</v>
      </c>
      <c r="BY21" s="55">
        <f>IFERROR(Costing[[#This Row],[Onboarding Hours]]/Costing[[#This Row],[Client Life Expectancy (Months)]]*Costing[[#This Row],[Onboarding Rate]],0)</f>
        <v>3.7224724724724725</v>
      </c>
      <c r="BZ21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15.389139139139136</v>
      </c>
      <c r="CA21" s="27">
        <v>55</v>
      </c>
      <c r="CB21" s="63">
        <f>IFERROR((Costing[[#This Row],[Current Sales Price]]-Costing[[#This Row],[Total  Cost excl. Software]])/Costing[[#This Row],[Current Sales Price]],)</f>
        <v>0.72019747019747027</v>
      </c>
      <c r="CC21" s="64">
        <f>Costing[[#This Row],[Total  Cost excl. Software]]/(1-$CC$1)</f>
        <v>43.968968968968966</v>
      </c>
    </row>
    <row r="22" spans="1:81" x14ac:dyDescent="0.2">
      <c r="A22" s="11" t="s">
        <v>20</v>
      </c>
      <c r="B22" s="48" t="s">
        <v>145</v>
      </c>
      <c r="C22" s="17" t="s">
        <v>115</v>
      </c>
      <c r="D22" s="17" t="s">
        <v>183</v>
      </c>
      <c r="E22" s="17">
        <v>15</v>
      </c>
      <c r="F22" s="21">
        <f>IFERROR(Costing[[#This Row],[Minutes/Pay Run]]*Costing[[#This Row],[Payroll Factor]]/60,"")</f>
        <v>0.25</v>
      </c>
      <c r="G22" s="54">
        <f>IFERROR(VLOOKUP(Costing[[#This Row],[Payroll Team]],Staff_Info[],4,0),"")</f>
        <v>10</v>
      </c>
      <c r="H22" s="21">
        <f>IFERROR(VLOOKUP(Costing[[#This Row],[Payroll Frequency]],Frequency[],2,0),"")</f>
        <v>1</v>
      </c>
      <c r="I22" s="55">
        <f>IFERROR(Costing[[#This Row],[Payroll Hours/Month]]*Costing[[#This Row],[Payroll Rate]],0)</f>
        <v>2.5</v>
      </c>
      <c r="J22" s="54" t="s">
        <v>176</v>
      </c>
      <c r="K22" s="11" t="s">
        <v>115</v>
      </c>
      <c r="L22" s="11" t="s">
        <v>157</v>
      </c>
      <c r="M22" s="11">
        <v>15</v>
      </c>
      <c r="N22" s="22">
        <f>IFERROR(Costing[[#This Row],[Minutes/Super]]*Costing[[#This Row],[Super Factor]]/60,"")</f>
        <v>8.3333333333333329E-2</v>
      </c>
      <c r="O22" s="23">
        <f>IFERROR(VLOOKUP(Costing[[#This Row],[Super Team]],Staff_Info[],4,0),"")</f>
        <v>10</v>
      </c>
      <c r="P22" s="22">
        <f>IFERROR(VLOOKUP(Costing[[#This Row],[Super Frequency]],Frequency[],2,0),"")</f>
        <v>0.33333333333333331</v>
      </c>
      <c r="Q22" s="55">
        <f>IFERROR(Costing[[#This Row],[Super Hours/Month]]*Costing[[#This Row],[Super Rate]],0)</f>
        <v>0.83333333333333326</v>
      </c>
      <c r="R22" s="11" t="s">
        <v>177</v>
      </c>
      <c r="S22" s="11" t="s">
        <v>115</v>
      </c>
      <c r="T22" s="11" t="s">
        <v>157</v>
      </c>
      <c r="U22" s="11">
        <v>360</v>
      </c>
      <c r="V22" s="22">
        <f>IFERROR(Costing[[#This Row],[Minutes/Activity]]*Costing[[#This Row],[Bookkeeping Factor]]/60,"")</f>
        <v>2</v>
      </c>
      <c r="W22" s="23">
        <f>IFERROR(VLOOKUP(Costing[[#This Row],[Bookkeeping Team]],Staff_Info[],4,0),"")</f>
        <v>10</v>
      </c>
      <c r="X22" s="22">
        <f>IFERROR(VLOOKUP(Costing[[#This Row],[Bookkeeping Frequency]],Frequency[],2,0),"")</f>
        <v>0.33333333333333331</v>
      </c>
      <c r="Y22" s="55">
        <f>IFERROR(Costing[[#This Row],[Bookkeeping Hours/Month]]*Costing[[#This Row],[Bookkeeping Rate]],0)</f>
        <v>20</v>
      </c>
      <c r="Z22" s="11" t="s">
        <v>178</v>
      </c>
      <c r="AA22" s="11" t="s">
        <v>119</v>
      </c>
      <c r="AB22" s="11" t="s">
        <v>157</v>
      </c>
      <c r="AC22" s="11">
        <v>60</v>
      </c>
      <c r="AD22" s="22">
        <f>IFERROR(Costing[[#This Row],[Minutes/Report]]*Costing[[#This Row],[Reporting Factor]]/60,"")</f>
        <v>0.33333333333333331</v>
      </c>
      <c r="AE22" s="23">
        <f>IFERROR(VLOOKUP(Costing[[#This Row],[Reporting Team]],Staff_Info[],4,0),"")</f>
        <v>50</v>
      </c>
      <c r="AF22" s="22">
        <f>IFERROR(VLOOKUP(Costing[[#This Row],[Reporting Frequency]],Frequency[],2,0),"")</f>
        <v>0.33333333333333331</v>
      </c>
      <c r="AG22" s="55">
        <f>IFERROR(Costing[[#This Row],[Reporting Hours/Month]]*Costing[[#This Row],[Reporting Rate]],0)</f>
        <v>16.666666666666664</v>
      </c>
      <c r="AH22" s="11" t="s">
        <v>179</v>
      </c>
      <c r="AI22" s="11" t="s">
        <v>115</v>
      </c>
      <c r="AJ22" s="11" t="s">
        <v>157</v>
      </c>
      <c r="AK22" s="11">
        <v>60</v>
      </c>
      <c r="AL22" s="22">
        <f>IFERROR(Costing[[#This Row],[Minutes/BAS 1]]*Costing[[#This Row],[BAS 1 Factor]]/60,"")</f>
        <v>0.33333333333333331</v>
      </c>
      <c r="AM22" s="23">
        <f>IFERROR(VLOOKUP(Costing[[#This Row],[BAS 1 Team]],Staff_Info[],4,0),"")</f>
        <v>10</v>
      </c>
      <c r="AN22" s="22">
        <f>IFERROR(VLOOKUP(Costing[[#This Row],[BAS 1 Frequency]],Frequency[],2,0),"")</f>
        <v>0.33333333333333331</v>
      </c>
      <c r="AO22" s="55">
        <f>IFERROR(Costing[[#This Row],[BAS 1 Hours/Month]]*Costing[[#This Row],[BAS 1 Rate]],0)</f>
        <v>3.333333333333333</v>
      </c>
      <c r="AP22" s="11" t="s">
        <v>180</v>
      </c>
      <c r="AQ22" s="11" t="s">
        <v>117</v>
      </c>
      <c r="AR22" s="11" t="s">
        <v>157</v>
      </c>
      <c r="AS22" s="11">
        <v>15</v>
      </c>
      <c r="AT22" s="22">
        <f>IFERROR(Costing[[#This Row],[Minutes/BAS 2]]*Costing[[#This Row],[BAS 2 Factor]]/60,"")</f>
        <v>8.3333333333333329E-2</v>
      </c>
      <c r="AU22" s="23">
        <f>IFERROR(VLOOKUP(Costing[[#This Row],[BAS 2 Team]],Staff_Info[],4,0),"")</f>
        <v>30</v>
      </c>
      <c r="AV22" s="22">
        <f>IFERROR(VLOOKUP(Costing[[#This Row],[BAS 2 Frequency]],Frequency[],2,0),"")</f>
        <v>0.33333333333333331</v>
      </c>
      <c r="AW22" s="55">
        <f>IFERROR(Costing[[#This Row],[BAS 2 Hours/Month]]*Costing[[#This Row],[BAS 2 Rate]],0)</f>
        <v>2.5</v>
      </c>
      <c r="AX22" s="11"/>
      <c r="AY22" s="11"/>
      <c r="AZ22" s="11"/>
      <c r="BA22" s="11"/>
      <c r="BB22" s="22" t="str">
        <f>IFERROR(Costing[[#This Row],[Minutes/IAS]]*Costing[[#This Row],[IAS Factor]]/60,"")</f>
        <v/>
      </c>
      <c r="BC22" s="23" t="str">
        <f>IFERROR(VLOOKUP(Costing[[#This Row],[IAS Team]],Staff_Info[],4,0),"")</f>
        <v/>
      </c>
      <c r="BD22" s="22" t="str">
        <f>IFERROR(VLOOKUP(Costing[[#This Row],[IAS Frequency]],Frequency[],2,0),"")</f>
        <v/>
      </c>
      <c r="BE22" s="56">
        <f>IFERROR(Costing[[#This Row],[IAS Hours/Month]]*Costing[[#This Row],[IAS Rate]],0)</f>
        <v>0</v>
      </c>
      <c r="BF22" s="11" t="s">
        <v>182</v>
      </c>
      <c r="BG22" s="11" t="s">
        <v>119</v>
      </c>
      <c r="BH22" s="11">
        <v>150</v>
      </c>
      <c r="BI22" s="23">
        <f>IFERROR(VLOOKUP(Costing[[#This Row],[EOFY Team 1]],Staff_Info[],4,0),"")</f>
        <v>50</v>
      </c>
      <c r="BJ22" s="57">
        <f>Costing[[#This Row],[Time Min 1]]/12</f>
        <v>12.5</v>
      </c>
      <c r="BK22" s="11" t="s">
        <v>115</v>
      </c>
      <c r="BL22" s="11">
        <v>180</v>
      </c>
      <c r="BM22" s="23">
        <f>IFERROR(VLOOKUP(Costing[[#This Row],[EOFY Team 2]],Staff_Info[],4,0),"")</f>
        <v>10</v>
      </c>
      <c r="BN22" s="57">
        <f>Costing[[#This Row],[Time Min 2]]/12</f>
        <v>15</v>
      </c>
      <c r="BO22" s="55">
        <f>IFERROR((Costing[[#This Row],[EOFY 1 Min/Month]]/60*Costing[[#This Row],[EOFY Team 1 Rate]])+(Costing[[#This Row],[EOFY 2 Min/Month]]/60*Costing[[#This Row],[EOFY Team 2 Rate]]),0)</f>
        <v>12.916666666666668</v>
      </c>
      <c r="BP22" s="11" t="s">
        <v>164</v>
      </c>
      <c r="BQ22" s="55">
        <f>IFERROR(VLOOKUP(Costing[[#This Row],[Software Name]],Software[],2,0),0)</f>
        <v>47.27</v>
      </c>
      <c r="BR22" s="59" t="s">
        <v>294</v>
      </c>
      <c r="BS22" s="11" t="s">
        <v>119</v>
      </c>
      <c r="BT22" s="60">
        <f>IF(Costing[[#This Row],[Minutes/Activity]]&gt;0,Costing[[#This Row],[Minutes/Activity]]*Costing[[#This Row],[Onboarding Factor]],"")</f>
        <v>2142</v>
      </c>
      <c r="BU22" s="60">
        <f>IFERROR(Costing[[#This Row],[Onboarding Minutes]]/60,)</f>
        <v>35.700000000000003</v>
      </c>
      <c r="BV22" s="60">
        <f t="shared" si="0"/>
        <v>79.92</v>
      </c>
      <c r="BW22" s="61">
        <f>IFERROR(VLOOKUP(Costing[[#This Row],[Onboarding Team]],Staff_Info[],4,0),"")</f>
        <v>50</v>
      </c>
      <c r="BX22" s="60">
        <f t="shared" si="1"/>
        <v>5.95</v>
      </c>
      <c r="BY22" s="55">
        <f>IFERROR(Costing[[#This Row],[Onboarding Hours]]/Costing[[#This Row],[Client Life Expectancy (Months)]]*Costing[[#This Row],[Onboarding Rate]],0)</f>
        <v>22.334834834834837</v>
      </c>
      <c r="BZ22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81.084834834834837</v>
      </c>
      <c r="CA22" s="27">
        <v>150.86000000000001</v>
      </c>
      <c r="CB22" s="63">
        <f>IFERROR((Costing[[#This Row],[Current Sales Price]]-Costing[[#This Row],[Total  Cost excl. Software]])/Costing[[#This Row],[Current Sales Price]],)</f>
        <v>0.46251600931436543</v>
      </c>
      <c r="CC22" s="64">
        <f>Costing[[#This Row],[Total  Cost excl. Software]]/(1-$CC$1)</f>
        <v>231.67095667095668</v>
      </c>
    </row>
    <row r="23" spans="1:81" x14ac:dyDescent="0.2">
      <c r="A23" s="11" t="s">
        <v>22</v>
      </c>
      <c r="B23" s="48" t="s">
        <v>145</v>
      </c>
      <c r="C23" s="17" t="s">
        <v>116</v>
      </c>
      <c r="D23" s="17" t="s">
        <v>154</v>
      </c>
      <c r="E23" s="17">
        <v>15</v>
      </c>
      <c r="F23" s="21">
        <f>IFERROR(Costing[[#This Row],[Minutes/Pay Run]]*Costing[[#This Row],[Payroll Factor]]/60,"")</f>
        <v>1.0833333333333333</v>
      </c>
      <c r="G23" s="54">
        <f>IFERROR(VLOOKUP(Costing[[#This Row],[Payroll Team]],Staff_Info[],4,0),"")</f>
        <v>10</v>
      </c>
      <c r="H23" s="21">
        <f>IFERROR(VLOOKUP(Costing[[#This Row],[Payroll Frequency]],Frequency[],2,0),"")</f>
        <v>4.333333333333333</v>
      </c>
      <c r="I23" s="55">
        <f>IFERROR(Costing[[#This Row],[Payroll Hours/Month]]*Costing[[#This Row],[Payroll Rate]],0)</f>
        <v>10.833333333333332</v>
      </c>
      <c r="J23" s="54" t="s">
        <v>176</v>
      </c>
      <c r="K23" s="11" t="s">
        <v>116</v>
      </c>
      <c r="L23" s="11" t="s">
        <v>157</v>
      </c>
      <c r="M23" s="11">
        <v>15</v>
      </c>
      <c r="N23" s="22">
        <f>IFERROR(Costing[[#This Row],[Minutes/Super]]*Costing[[#This Row],[Super Factor]]/60,"")</f>
        <v>8.3333333333333329E-2</v>
      </c>
      <c r="O23" s="23">
        <f>IFERROR(VLOOKUP(Costing[[#This Row],[Super Team]],Staff_Info[],4,0),"")</f>
        <v>10</v>
      </c>
      <c r="P23" s="22">
        <f>IFERROR(VLOOKUP(Costing[[#This Row],[Super Frequency]],Frequency[],2,0),"")</f>
        <v>0.33333333333333331</v>
      </c>
      <c r="Q23" s="55">
        <f>IFERROR(Costing[[#This Row],[Super Hours/Month]]*Costing[[#This Row],[Super Rate]],0)</f>
        <v>0.83333333333333326</v>
      </c>
      <c r="R23" s="11" t="s">
        <v>177</v>
      </c>
      <c r="S23" s="11" t="s">
        <v>116</v>
      </c>
      <c r="T23" s="11" t="s">
        <v>157</v>
      </c>
      <c r="U23" s="11">
        <v>180</v>
      </c>
      <c r="V23" s="22">
        <f>IFERROR(Costing[[#This Row],[Minutes/Activity]]*Costing[[#This Row],[Bookkeeping Factor]]/60,"")</f>
        <v>1</v>
      </c>
      <c r="W23" s="23">
        <f>IFERROR(VLOOKUP(Costing[[#This Row],[Bookkeeping Team]],Staff_Info[],4,0),"")</f>
        <v>10</v>
      </c>
      <c r="X23" s="22">
        <f>IFERROR(VLOOKUP(Costing[[#This Row],[Bookkeeping Frequency]],Frequency[],2,0),"")</f>
        <v>0.33333333333333331</v>
      </c>
      <c r="Y23" s="55">
        <f>IFERROR(Costing[[#This Row],[Bookkeeping Hours/Month]]*Costing[[#This Row],[Bookkeeping Rate]],0)</f>
        <v>10</v>
      </c>
      <c r="Z23" s="11" t="s">
        <v>178</v>
      </c>
      <c r="AA23" s="11" t="s">
        <v>116</v>
      </c>
      <c r="AB23" s="11" t="s">
        <v>157</v>
      </c>
      <c r="AC23" s="11">
        <v>30</v>
      </c>
      <c r="AD23" s="22">
        <f>IFERROR(Costing[[#This Row],[Minutes/Report]]*Costing[[#This Row],[Reporting Factor]]/60,"")</f>
        <v>0.16666666666666666</v>
      </c>
      <c r="AE23" s="23">
        <f>IFERROR(VLOOKUP(Costing[[#This Row],[Reporting Team]],Staff_Info[],4,0),"")</f>
        <v>10</v>
      </c>
      <c r="AF23" s="22">
        <f>IFERROR(VLOOKUP(Costing[[#This Row],[Reporting Frequency]],Frequency[],2,0),"")</f>
        <v>0.33333333333333331</v>
      </c>
      <c r="AG23" s="55">
        <f>IFERROR(Costing[[#This Row],[Reporting Hours/Month]]*Costing[[#This Row],[Reporting Rate]],0)</f>
        <v>1.6666666666666665</v>
      </c>
      <c r="AH23" s="11" t="s">
        <v>179</v>
      </c>
      <c r="AI23" s="11" t="s">
        <v>116</v>
      </c>
      <c r="AJ23" s="11" t="s">
        <v>157</v>
      </c>
      <c r="AK23" s="11">
        <v>60</v>
      </c>
      <c r="AL23" s="22">
        <f>IFERROR(Costing[[#This Row],[Minutes/BAS 1]]*Costing[[#This Row],[BAS 1 Factor]]/60,"")</f>
        <v>0.33333333333333331</v>
      </c>
      <c r="AM23" s="23">
        <f>IFERROR(VLOOKUP(Costing[[#This Row],[BAS 1 Team]],Staff_Info[],4,0),"")</f>
        <v>10</v>
      </c>
      <c r="AN23" s="22">
        <f>IFERROR(VLOOKUP(Costing[[#This Row],[BAS 1 Frequency]],Frequency[],2,0),"")</f>
        <v>0.33333333333333331</v>
      </c>
      <c r="AO23" s="55">
        <f>IFERROR(Costing[[#This Row],[BAS 1 Hours/Month]]*Costing[[#This Row],[BAS 1 Rate]],0)</f>
        <v>3.333333333333333</v>
      </c>
      <c r="AP23" s="11" t="s">
        <v>180</v>
      </c>
      <c r="AQ23" s="11" t="s">
        <v>117</v>
      </c>
      <c r="AR23" s="11" t="s">
        <v>157</v>
      </c>
      <c r="AS23" s="11">
        <v>15</v>
      </c>
      <c r="AT23" s="22">
        <f>IFERROR(Costing[[#This Row],[Minutes/BAS 2]]*Costing[[#This Row],[BAS 2 Factor]]/60,"")</f>
        <v>8.3333333333333329E-2</v>
      </c>
      <c r="AU23" s="23">
        <f>IFERROR(VLOOKUP(Costing[[#This Row],[BAS 2 Team]],Staff_Info[],4,0),"")</f>
        <v>30</v>
      </c>
      <c r="AV23" s="22">
        <f>IFERROR(VLOOKUP(Costing[[#This Row],[BAS 2 Frequency]],Frequency[],2,0),"")</f>
        <v>0.33333333333333331</v>
      </c>
      <c r="AW23" s="55">
        <f>IFERROR(Costing[[#This Row],[BAS 2 Hours/Month]]*Costing[[#This Row],[BAS 2 Rate]],0)</f>
        <v>2.5</v>
      </c>
      <c r="AX23" s="11"/>
      <c r="AY23" s="11"/>
      <c r="AZ23" s="11"/>
      <c r="BA23" s="11"/>
      <c r="BB23" s="22" t="str">
        <f>IFERROR(Costing[[#This Row],[Minutes/IAS]]*Costing[[#This Row],[IAS Factor]]/60,"")</f>
        <v/>
      </c>
      <c r="BC23" s="23" t="str">
        <f>IFERROR(VLOOKUP(Costing[[#This Row],[IAS Team]],Staff_Info[],4,0),"")</f>
        <v/>
      </c>
      <c r="BD23" s="22" t="str">
        <f>IFERROR(VLOOKUP(Costing[[#This Row],[IAS Frequency]],Frequency[],2,0),"")</f>
        <v/>
      </c>
      <c r="BE23" s="56">
        <f>IFERROR(Costing[[#This Row],[IAS Hours/Month]]*Costing[[#This Row],[IAS Rate]],0)</f>
        <v>0</v>
      </c>
      <c r="BF23" s="11" t="s">
        <v>182</v>
      </c>
      <c r="BG23" s="11" t="s">
        <v>116</v>
      </c>
      <c r="BH23" s="11">
        <v>120</v>
      </c>
      <c r="BI23" s="23">
        <f>IFERROR(VLOOKUP(Costing[[#This Row],[EOFY Team 1]],Staff_Info[],4,0),"")</f>
        <v>10</v>
      </c>
      <c r="BJ23" s="57">
        <f>Costing[[#This Row],[Time Min 1]]/12</f>
        <v>10</v>
      </c>
      <c r="BK23" s="11" t="s">
        <v>119</v>
      </c>
      <c r="BL23" s="11">
        <v>120</v>
      </c>
      <c r="BM23" s="23">
        <f>IFERROR(VLOOKUP(Costing[[#This Row],[EOFY Team 2]],Staff_Info[],4,0),"")</f>
        <v>50</v>
      </c>
      <c r="BN23" s="57">
        <f>Costing[[#This Row],[Time Min 2]]/12</f>
        <v>10</v>
      </c>
      <c r="BO23" s="55">
        <f>IFERROR((Costing[[#This Row],[EOFY 1 Min/Month]]/60*Costing[[#This Row],[EOFY Team 1 Rate]])+(Costing[[#This Row],[EOFY 2 Min/Month]]/60*Costing[[#This Row],[EOFY Team 2 Rate]]),0)</f>
        <v>9.9999999999999982</v>
      </c>
      <c r="BP23" s="11"/>
      <c r="BQ23" s="55">
        <f>IFERROR(VLOOKUP(Costing[[#This Row],[Software Name]],Software[],2,0),0)</f>
        <v>0</v>
      </c>
      <c r="BR23" s="59" t="s">
        <v>294</v>
      </c>
      <c r="BS23" s="11" t="s">
        <v>119</v>
      </c>
      <c r="BT23" s="60">
        <f>IF(Costing[[#This Row],[Minutes/Activity]]&gt;0,Costing[[#This Row],[Minutes/Activity]]*Costing[[#This Row],[Onboarding Factor]],"")</f>
        <v>1071</v>
      </c>
      <c r="BU23" s="60">
        <f>IFERROR(Costing[[#This Row],[Onboarding Minutes]]/60,)</f>
        <v>17.850000000000001</v>
      </c>
      <c r="BV23" s="60">
        <f t="shared" si="0"/>
        <v>79.92</v>
      </c>
      <c r="BW23" s="61">
        <f>IFERROR(VLOOKUP(Costing[[#This Row],[Onboarding Team]],Staff_Info[],4,0),"")</f>
        <v>50</v>
      </c>
      <c r="BX23" s="60">
        <f t="shared" si="1"/>
        <v>5.95</v>
      </c>
      <c r="BY23" s="55">
        <f>IFERROR(Costing[[#This Row],[Onboarding Hours]]/Costing[[#This Row],[Client Life Expectancy (Months)]]*Costing[[#This Row],[Onboarding Rate]],0)</f>
        <v>11.167417417417418</v>
      </c>
      <c r="BZ23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50.334084084084083</v>
      </c>
      <c r="CA23" s="27">
        <v>200</v>
      </c>
      <c r="CB23" s="63">
        <f>IFERROR((Costing[[#This Row],[Current Sales Price]]-Costing[[#This Row],[Total  Cost excl. Software]])/Costing[[#This Row],[Current Sales Price]],)</f>
        <v>0.74832957957957957</v>
      </c>
      <c r="CC23" s="64">
        <f>Costing[[#This Row],[Total  Cost excl. Software]]/(1-$CC$1)</f>
        <v>143.81166881166882</v>
      </c>
    </row>
    <row r="24" spans="1:81" x14ac:dyDescent="0.2">
      <c r="A24" s="11" t="s">
        <v>21</v>
      </c>
      <c r="B24" s="48" t="s">
        <v>145</v>
      </c>
      <c r="C24" s="17" t="s">
        <v>118</v>
      </c>
      <c r="D24" s="17" t="s">
        <v>154</v>
      </c>
      <c r="E24" s="17">
        <v>90</v>
      </c>
      <c r="F24" s="21">
        <f>IFERROR(Costing[[#This Row],[Minutes/Pay Run]]*Costing[[#This Row],[Payroll Factor]]/60,"")</f>
        <v>6.5</v>
      </c>
      <c r="G24" s="54">
        <f>IFERROR(VLOOKUP(Costing[[#This Row],[Payroll Team]],Staff_Info[],4,0),"")</f>
        <v>10</v>
      </c>
      <c r="H24" s="21">
        <f>IFERROR(VLOOKUP(Costing[[#This Row],[Payroll Frequency]],Frequency[],2,0),"")</f>
        <v>4.333333333333333</v>
      </c>
      <c r="I24" s="55">
        <f>IFERROR(Costing[[#This Row],[Payroll Hours/Month]]*Costing[[#This Row],[Payroll Rate]],0)</f>
        <v>65</v>
      </c>
      <c r="J24" s="54" t="s">
        <v>176</v>
      </c>
      <c r="K24" s="11" t="s">
        <v>118</v>
      </c>
      <c r="L24" s="11" t="s">
        <v>157</v>
      </c>
      <c r="M24" s="11">
        <v>45</v>
      </c>
      <c r="N24" s="22">
        <f>IFERROR(Costing[[#This Row],[Minutes/Super]]*Costing[[#This Row],[Super Factor]]/60,"")</f>
        <v>0.25</v>
      </c>
      <c r="O24" s="23">
        <f>IFERROR(VLOOKUP(Costing[[#This Row],[Super Team]],Staff_Info[],4,0),"")</f>
        <v>10</v>
      </c>
      <c r="P24" s="22">
        <f>IFERROR(VLOOKUP(Costing[[#This Row],[Super Frequency]],Frequency[],2,0),"")</f>
        <v>0.33333333333333331</v>
      </c>
      <c r="Q24" s="55">
        <f>IFERROR(Costing[[#This Row],[Super Hours/Month]]*Costing[[#This Row],[Super Rate]],0)</f>
        <v>2.5</v>
      </c>
      <c r="R24" s="11" t="s">
        <v>177</v>
      </c>
      <c r="S24" s="11" t="s">
        <v>118</v>
      </c>
      <c r="T24" s="11" t="s">
        <v>183</v>
      </c>
      <c r="U24" s="11">
        <v>120</v>
      </c>
      <c r="V24" s="22">
        <f>IFERROR(Costing[[#This Row],[Minutes/Activity]]*Costing[[#This Row],[Bookkeeping Factor]]/60,"")</f>
        <v>2</v>
      </c>
      <c r="W24" s="23">
        <f>IFERROR(VLOOKUP(Costing[[#This Row],[Bookkeeping Team]],Staff_Info[],4,0),"")</f>
        <v>10</v>
      </c>
      <c r="X24" s="22">
        <f>IFERROR(VLOOKUP(Costing[[#This Row],[Bookkeeping Frequency]],Frequency[],2,0),"")</f>
        <v>1</v>
      </c>
      <c r="Y24" s="55">
        <f>IFERROR(Costing[[#This Row],[Bookkeeping Hours/Month]]*Costing[[#This Row],[Bookkeeping Rate]],0)</f>
        <v>20</v>
      </c>
      <c r="Z24" s="11"/>
      <c r="AA24" s="11"/>
      <c r="AB24" s="11"/>
      <c r="AC24" s="11"/>
      <c r="AD24" s="22" t="str">
        <f>IFERROR(Costing[[#This Row],[Minutes/Report]]*Costing[[#This Row],[Reporting Factor]]/60,"")</f>
        <v/>
      </c>
      <c r="AE24" s="23" t="str">
        <f>IFERROR(VLOOKUP(Costing[[#This Row],[Reporting Team]],Staff_Info[],4,0),"")</f>
        <v/>
      </c>
      <c r="AF24" s="22" t="str">
        <f>IFERROR(VLOOKUP(Costing[[#This Row],[Reporting Frequency]],Frequency[],2,0),"")</f>
        <v/>
      </c>
      <c r="AG24" s="55">
        <f>IFERROR(Costing[[#This Row],[Reporting Hours/Month]]*Costing[[#This Row],[Reporting Rate]],0)</f>
        <v>0</v>
      </c>
      <c r="AH24" s="11" t="s">
        <v>179</v>
      </c>
      <c r="AI24" s="11" t="s">
        <v>118</v>
      </c>
      <c r="AJ24" s="11" t="s">
        <v>157</v>
      </c>
      <c r="AK24" s="11">
        <v>60</v>
      </c>
      <c r="AL24" s="22">
        <f>IFERROR(Costing[[#This Row],[Minutes/BAS 1]]*Costing[[#This Row],[BAS 1 Factor]]/60,"")</f>
        <v>0.33333333333333331</v>
      </c>
      <c r="AM24" s="23">
        <f>IFERROR(VLOOKUP(Costing[[#This Row],[BAS 1 Team]],Staff_Info[],4,0),"")</f>
        <v>10</v>
      </c>
      <c r="AN24" s="22">
        <f>IFERROR(VLOOKUP(Costing[[#This Row],[BAS 1 Frequency]],Frequency[],2,0),"")</f>
        <v>0.33333333333333331</v>
      </c>
      <c r="AO24" s="55">
        <f>IFERROR(Costing[[#This Row],[BAS 1 Hours/Month]]*Costing[[#This Row],[BAS 1 Rate]],0)</f>
        <v>3.333333333333333</v>
      </c>
      <c r="AP24" s="11" t="s">
        <v>180</v>
      </c>
      <c r="AQ24" s="11" t="s">
        <v>117</v>
      </c>
      <c r="AR24" s="11" t="s">
        <v>157</v>
      </c>
      <c r="AS24" s="11">
        <v>15</v>
      </c>
      <c r="AT24" s="22">
        <f>IFERROR(Costing[[#This Row],[Minutes/BAS 2]]*Costing[[#This Row],[BAS 2 Factor]]/60,"")</f>
        <v>8.3333333333333329E-2</v>
      </c>
      <c r="AU24" s="23">
        <f>IFERROR(VLOOKUP(Costing[[#This Row],[BAS 2 Team]],Staff_Info[],4,0),"")</f>
        <v>30</v>
      </c>
      <c r="AV24" s="22">
        <f>IFERROR(VLOOKUP(Costing[[#This Row],[BAS 2 Frequency]],Frequency[],2,0),"")</f>
        <v>0.33333333333333331</v>
      </c>
      <c r="AW24" s="55">
        <f>IFERROR(Costing[[#This Row],[BAS 2 Hours/Month]]*Costing[[#This Row],[BAS 2 Rate]],0)</f>
        <v>2.5</v>
      </c>
      <c r="AX24" s="11"/>
      <c r="AY24" s="11"/>
      <c r="AZ24" s="11"/>
      <c r="BA24" s="11"/>
      <c r="BB24" s="22" t="str">
        <f>IFERROR(Costing[[#This Row],[Minutes/IAS]]*Costing[[#This Row],[IAS Factor]]/60,"")</f>
        <v/>
      </c>
      <c r="BC24" s="23" t="str">
        <f>IFERROR(VLOOKUP(Costing[[#This Row],[IAS Team]],Staff_Info[],4,0),"")</f>
        <v/>
      </c>
      <c r="BD24" s="22" t="str">
        <f>IFERROR(VLOOKUP(Costing[[#This Row],[IAS Frequency]],Frequency[],2,0),"")</f>
        <v/>
      </c>
      <c r="BE24" s="56">
        <f>IFERROR(Costing[[#This Row],[IAS Hours/Month]]*Costing[[#This Row],[IAS Rate]],0)</f>
        <v>0</v>
      </c>
      <c r="BF24" s="11" t="s">
        <v>182</v>
      </c>
      <c r="BG24" s="11" t="s">
        <v>118</v>
      </c>
      <c r="BH24" s="11">
        <v>150</v>
      </c>
      <c r="BI24" s="23">
        <f>IFERROR(VLOOKUP(Costing[[#This Row],[EOFY Team 1]],Staff_Info[],4,0),"")</f>
        <v>10</v>
      </c>
      <c r="BJ24" s="57">
        <f>Costing[[#This Row],[Time Min 1]]/12</f>
        <v>12.5</v>
      </c>
      <c r="BK24" s="11" t="s">
        <v>126</v>
      </c>
      <c r="BL24" s="11">
        <v>120</v>
      </c>
      <c r="BM24" s="23">
        <f>IFERROR(VLOOKUP(Costing[[#This Row],[EOFY Team 2]],Staff_Info[],4,0),"")</f>
        <v>50</v>
      </c>
      <c r="BN24" s="57">
        <f>Costing[[#This Row],[Time Min 2]]/12</f>
        <v>10</v>
      </c>
      <c r="BO24" s="55">
        <f>IFERROR((Costing[[#This Row],[EOFY 1 Min/Month]]/60*Costing[[#This Row],[EOFY Team 1 Rate]])+(Costing[[#This Row],[EOFY 2 Min/Month]]/60*Costing[[#This Row],[EOFY Team 2 Rate]]),0)</f>
        <v>10.416666666666666</v>
      </c>
      <c r="BP24" s="11" t="s">
        <v>166</v>
      </c>
      <c r="BQ24" s="55">
        <f>IFERROR(VLOOKUP(Costing[[#This Row],[Software Name]],Software[],2,0),0)</f>
        <v>65.459999999999994</v>
      </c>
      <c r="BR24" s="59" t="s">
        <v>294</v>
      </c>
      <c r="BS24" s="11" t="s">
        <v>126</v>
      </c>
      <c r="BT24" s="60">
        <f>IF(Costing[[#This Row],[Minutes/Activity]]&gt;0,Costing[[#This Row],[Minutes/Activity]]*Costing[[#This Row],[Onboarding Factor]],"")</f>
        <v>714</v>
      </c>
      <c r="BU24" s="60">
        <f>IFERROR(Costing[[#This Row],[Onboarding Minutes]]/60,)</f>
        <v>11.9</v>
      </c>
      <c r="BV24" s="60">
        <f t="shared" si="0"/>
        <v>79.92</v>
      </c>
      <c r="BW24" s="61">
        <f>IFERROR(VLOOKUP(Costing[[#This Row],[Onboarding Team]],Staff_Info[],4,0),"")</f>
        <v>50</v>
      </c>
      <c r="BX24" s="60">
        <f t="shared" si="1"/>
        <v>5.95</v>
      </c>
      <c r="BY24" s="55">
        <f>IFERROR(Costing[[#This Row],[Onboarding Hours]]/Costing[[#This Row],[Client Life Expectancy (Months)]]*Costing[[#This Row],[Onboarding Rate]],0)</f>
        <v>7.444944944944945</v>
      </c>
      <c r="BZ24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111.19494494494495</v>
      </c>
      <c r="CA24" s="27">
        <v>348</v>
      </c>
      <c r="CB24" s="63">
        <f>IFERROR((Costing[[#This Row],[Current Sales Price]]-Costing[[#This Row],[Total  Cost excl. Software]])/Costing[[#This Row],[Current Sales Price]],)</f>
        <v>0.68047429613521571</v>
      </c>
      <c r="CC24" s="64">
        <f>Costing[[#This Row],[Total  Cost excl. Software]]/(1-$CC$1)</f>
        <v>317.69984269984275</v>
      </c>
    </row>
    <row r="25" spans="1:81" x14ac:dyDescent="0.2">
      <c r="A25" s="11" t="s">
        <v>24</v>
      </c>
      <c r="B25" s="48" t="s">
        <v>145</v>
      </c>
      <c r="C25" s="17" t="s">
        <v>118</v>
      </c>
      <c r="D25" s="17" t="s">
        <v>183</v>
      </c>
      <c r="E25" s="17">
        <v>15</v>
      </c>
      <c r="F25" s="21">
        <f>IFERROR(Costing[[#This Row],[Minutes/Pay Run]]*Costing[[#This Row],[Payroll Factor]]/60,"")</f>
        <v>0.25</v>
      </c>
      <c r="G25" s="54">
        <f>IFERROR(VLOOKUP(Costing[[#This Row],[Payroll Team]],Staff_Info[],4,0),"")</f>
        <v>10</v>
      </c>
      <c r="H25" s="21">
        <f>IFERROR(VLOOKUP(Costing[[#This Row],[Payroll Frequency]],Frequency[],2,0),"")</f>
        <v>1</v>
      </c>
      <c r="I25" s="55">
        <f>IFERROR(Costing[[#This Row],[Payroll Hours/Month]]*Costing[[#This Row],[Payroll Rate]],0)</f>
        <v>2.5</v>
      </c>
      <c r="J25" s="54" t="s">
        <v>176</v>
      </c>
      <c r="K25" s="11" t="s">
        <v>118</v>
      </c>
      <c r="L25" s="11" t="s">
        <v>157</v>
      </c>
      <c r="M25" s="11">
        <v>15</v>
      </c>
      <c r="N25" s="22">
        <f>IFERROR(Costing[[#This Row],[Minutes/Super]]*Costing[[#This Row],[Super Factor]]/60,"")</f>
        <v>8.3333333333333329E-2</v>
      </c>
      <c r="O25" s="23">
        <f>IFERROR(VLOOKUP(Costing[[#This Row],[Super Team]],Staff_Info[],4,0),"")</f>
        <v>10</v>
      </c>
      <c r="P25" s="22">
        <f>IFERROR(VLOOKUP(Costing[[#This Row],[Super Frequency]],Frequency[],2,0),"")</f>
        <v>0.33333333333333331</v>
      </c>
      <c r="Q25" s="55">
        <f>IFERROR(Costing[[#This Row],[Super Hours/Month]]*Costing[[#This Row],[Super Rate]],0)</f>
        <v>0.83333333333333326</v>
      </c>
      <c r="R25" s="11" t="s">
        <v>177</v>
      </c>
      <c r="S25" s="11" t="s">
        <v>118</v>
      </c>
      <c r="T25" s="11" t="s">
        <v>183</v>
      </c>
      <c r="U25" s="11">
        <v>480</v>
      </c>
      <c r="V25" s="22">
        <f>IFERROR(Costing[[#This Row],[Minutes/Activity]]*Costing[[#This Row],[Bookkeeping Factor]]/60,"")</f>
        <v>8</v>
      </c>
      <c r="W25" s="23">
        <f>IFERROR(VLOOKUP(Costing[[#This Row],[Bookkeeping Team]],Staff_Info[],4,0),"")</f>
        <v>10</v>
      </c>
      <c r="X25" s="22">
        <f>IFERROR(VLOOKUP(Costing[[#This Row],[Bookkeeping Frequency]],Frequency[],2,0),"")</f>
        <v>1</v>
      </c>
      <c r="Y25" s="55">
        <f>IFERROR(Costing[[#This Row],[Bookkeeping Hours/Month]]*Costing[[#This Row],[Bookkeeping Rate]],0)</f>
        <v>80</v>
      </c>
      <c r="Z25" s="11" t="s">
        <v>178</v>
      </c>
      <c r="AA25" s="11" t="s">
        <v>126</v>
      </c>
      <c r="AB25" s="11" t="s">
        <v>183</v>
      </c>
      <c r="AC25" s="11">
        <v>20</v>
      </c>
      <c r="AD25" s="22">
        <f>IFERROR(Costing[[#This Row],[Minutes/Report]]*Costing[[#This Row],[Reporting Factor]]/60,"")</f>
        <v>0.33333333333333331</v>
      </c>
      <c r="AE25" s="23">
        <f>IFERROR(VLOOKUP(Costing[[#This Row],[Reporting Team]],Staff_Info[],4,0),"")</f>
        <v>50</v>
      </c>
      <c r="AF25" s="22">
        <f>IFERROR(VLOOKUP(Costing[[#This Row],[Reporting Frequency]],Frequency[],2,0),"")</f>
        <v>1</v>
      </c>
      <c r="AG25" s="55">
        <f>IFERROR(Costing[[#This Row],[Reporting Hours/Month]]*Costing[[#This Row],[Reporting Rate]],0)</f>
        <v>16.666666666666664</v>
      </c>
      <c r="AH25" s="11" t="s">
        <v>179</v>
      </c>
      <c r="AI25" s="11" t="s">
        <v>118</v>
      </c>
      <c r="AJ25" s="11" t="s">
        <v>157</v>
      </c>
      <c r="AK25" s="11">
        <v>60</v>
      </c>
      <c r="AL25" s="22">
        <f>IFERROR(Costing[[#This Row],[Minutes/BAS 1]]*Costing[[#This Row],[BAS 1 Factor]]/60,"")</f>
        <v>0.33333333333333331</v>
      </c>
      <c r="AM25" s="23">
        <f>IFERROR(VLOOKUP(Costing[[#This Row],[BAS 1 Team]],Staff_Info[],4,0),"")</f>
        <v>10</v>
      </c>
      <c r="AN25" s="22">
        <f>IFERROR(VLOOKUP(Costing[[#This Row],[BAS 1 Frequency]],Frequency[],2,0),"")</f>
        <v>0.33333333333333331</v>
      </c>
      <c r="AO25" s="55">
        <f>IFERROR(Costing[[#This Row],[BAS 1 Hours/Month]]*Costing[[#This Row],[BAS 1 Rate]],0)</f>
        <v>3.333333333333333</v>
      </c>
      <c r="AP25" s="11" t="s">
        <v>180</v>
      </c>
      <c r="AQ25" s="11" t="s">
        <v>117</v>
      </c>
      <c r="AR25" s="11" t="s">
        <v>157</v>
      </c>
      <c r="AS25" s="11">
        <v>15</v>
      </c>
      <c r="AT25" s="22">
        <f>IFERROR(Costing[[#This Row],[Minutes/BAS 2]]*Costing[[#This Row],[BAS 2 Factor]]/60,"")</f>
        <v>8.3333333333333329E-2</v>
      </c>
      <c r="AU25" s="23">
        <f>IFERROR(VLOOKUP(Costing[[#This Row],[BAS 2 Team]],Staff_Info[],4,0),"")</f>
        <v>30</v>
      </c>
      <c r="AV25" s="22">
        <f>IFERROR(VLOOKUP(Costing[[#This Row],[BAS 2 Frequency]],Frequency[],2,0),"")</f>
        <v>0.33333333333333331</v>
      </c>
      <c r="AW25" s="55">
        <f>IFERROR(Costing[[#This Row],[BAS 2 Hours/Month]]*Costing[[#This Row],[BAS 2 Rate]],0)</f>
        <v>2.5</v>
      </c>
      <c r="AX25" s="11"/>
      <c r="AY25" s="11"/>
      <c r="AZ25" s="11"/>
      <c r="BA25" s="11"/>
      <c r="BB25" s="22" t="str">
        <f>IFERROR(Costing[[#This Row],[Minutes/IAS]]*Costing[[#This Row],[IAS Factor]]/60,"")</f>
        <v/>
      </c>
      <c r="BC25" s="23" t="str">
        <f>IFERROR(VLOOKUP(Costing[[#This Row],[IAS Team]],Staff_Info[],4,0),"")</f>
        <v/>
      </c>
      <c r="BD25" s="22" t="str">
        <f>IFERROR(VLOOKUP(Costing[[#This Row],[IAS Frequency]],Frequency[],2,0),"")</f>
        <v/>
      </c>
      <c r="BE25" s="56">
        <f>IFERROR(Costing[[#This Row],[IAS Hours/Month]]*Costing[[#This Row],[IAS Rate]],0)</f>
        <v>0</v>
      </c>
      <c r="BF25" s="11" t="s">
        <v>182</v>
      </c>
      <c r="BG25" s="11" t="s">
        <v>126</v>
      </c>
      <c r="BH25" s="11">
        <v>240</v>
      </c>
      <c r="BI25" s="23">
        <f>IFERROR(VLOOKUP(Costing[[#This Row],[EOFY Team 1]],Staff_Info[],4,0),"")</f>
        <v>50</v>
      </c>
      <c r="BJ25" s="57">
        <f>Costing[[#This Row],[Time Min 1]]/12</f>
        <v>20</v>
      </c>
      <c r="BK25" s="11" t="s">
        <v>118</v>
      </c>
      <c r="BL25" s="11">
        <v>240</v>
      </c>
      <c r="BM25" s="23">
        <f>IFERROR(VLOOKUP(Costing[[#This Row],[EOFY Team 2]],Staff_Info[],4,0),"")</f>
        <v>10</v>
      </c>
      <c r="BN25" s="57">
        <f>Costing[[#This Row],[Time Min 2]]/12</f>
        <v>20</v>
      </c>
      <c r="BO25" s="55">
        <f>IFERROR((Costing[[#This Row],[EOFY 1 Min/Month]]/60*Costing[[#This Row],[EOFY Team 1 Rate]])+(Costing[[#This Row],[EOFY 2 Min/Month]]/60*Costing[[#This Row],[EOFY Team 2 Rate]]),0)</f>
        <v>19.999999999999996</v>
      </c>
      <c r="BP25" s="11" t="s">
        <v>169</v>
      </c>
      <c r="BQ25" s="55">
        <f>IFERROR(VLOOKUP(Costing[[#This Row],[Software Name]],Software[],2,0),0)</f>
        <v>15.91</v>
      </c>
      <c r="BR25" s="59" t="s">
        <v>294</v>
      </c>
      <c r="BS25" s="11" t="s">
        <v>126</v>
      </c>
      <c r="BT25" s="60">
        <f>IF(Costing[[#This Row],[Minutes/Activity]]&gt;0,Costing[[#This Row],[Minutes/Activity]]*Costing[[#This Row],[Onboarding Factor]],"")</f>
        <v>2856</v>
      </c>
      <c r="BU25" s="60">
        <f>IFERROR(Costing[[#This Row],[Onboarding Minutes]]/60,)</f>
        <v>47.6</v>
      </c>
      <c r="BV25" s="60">
        <f t="shared" si="0"/>
        <v>79.92</v>
      </c>
      <c r="BW25" s="61">
        <f>IFERROR(VLOOKUP(Costing[[#This Row],[Onboarding Team]],Staff_Info[],4,0),"")</f>
        <v>50</v>
      </c>
      <c r="BX25" s="60">
        <f t="shared" si="1"/>
        <v>5.95</v>
      </c>
      <c r="BY25" s="55">
        <f>IFERROR(Costing[[#This Row],[Onboarding Hours]]/Costing[[#This Row],[Client Life Expectancy (Months)]]*Costing[[#This Row],[Onboarding Rate]],0)</f>
        <v>29.77977977977978</v>
      </c>
      <c r="BZ25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155.61311311311312</v>
      </c>
      <c r="CA25" s="27">
        <v>406.68</v>
      </c>
      <c r="CB25" s="63">
        <f>IFERROR((Costing[[#This Row],[Current Sales Price]]-Costing[[#This Row],[Total  Cost excl. Software]])/Costing[[#This Row],[Current Sales Price]],)</f>
        <v>0.61735734948088639</v>
      </c>
      <c r="CC25" s="64">
        <f>Costing[[#This Row],[Total  Cost excl. Software]]/(1-$CC$1)</f>
        <v>444.60889460889462</v>
      </c>
    </row>
    <row r="26" spans="1:81" x14ac:dyDescent="0.2">
      <c r="A26" s="11" t="s">
        <v>26</v>
      </c>
      <c r="B26" s="48"/>
      <c r="C26" s="17"/>
      <c r="D26" s="17"/>
      <c r="E26" s="17"/>
      <c r="F26" s="21" t="str">
        <f>IFERROR(Costing[[#This Row],[Minutes/Pay Run]]*Costing[[#This Row],[Payroll Factor]]/60,"")</f>
        <v/>
      </c>
      <c r="G26" s="54" t="str">
        <f>IFERROR(VLOOKUP(Costing[[#This Row],[Payroll Team]],Staff_Info[],4,0),"")</f>
        <v/>
      </c>
      <c r="H26" s="21" t="str">
        <f>IFERROR(VLOOKUP(Costing[[#This Row],[Payroll Frequency]],Frequency[],2,0),"")</f>
        <v/>
      </c>
      <c r="I26" s="55">
        <f>IFERROR(Costing[[#This Row],[Payroll Hours/Month]]*Costing[[#This Row],[Payroll Rate]],0)</f>
        <v>0</v>
      </c>
      <c r="J26" s="54"/>
      <c r="K26" s="11"/>
      <c r="L26" s="11"/>
      <c r="M26" s="11"/>
      <c r="N26" s="22" t="str">
        <f>IFERROR(Costing[[#This Row],[Minutes/Super]]*Costing[[#This Row],[Super Factor]]/60,"")</f>
        <v/>
      </c>
      <c r="O26" s="23" t="str">
        <f>IFERROR(VLOOKUP(Costing[[#This Row],[Super Team]],Staff_Info[],4,0),"")</f>
        <v/>
      </c>
      <c r="P26" s="22" t="str">
        <f>IFERROR(VLOOKUP(Costing[[#This Row],[Super Frequency]],Frequency[],2,0),"")</f>
        <v/>
      </c>
      <c r="Q26" s="55">
        <f>IFERROR(Costing[[#This Row],[Super Hours/Month]]*Costing[[#This Row],[Super Rate]],0)</f>
        <v>0</v>
      </c>
      <c r="R26" s="11" t="s">
        <v>177</v>
      </c>
      <c r="S26" s="11" t="s">
        <v>119</v>
      </c>
      <c r="T26" s="11" t="s">
        <v>157</v>
      </c>
      <c r="U26" s="11">
        <v>45</v>
      </c>
      <c r="V26" s="22">
        <f>IFERROR(Costing[[#This Row],[Minutes/Activity]]*Costing[[#This Row],[Bookkeeping Factor]]/60,"")</f>
        <v>0.25</v>
      </c>
      <c r="W26" s="23">
        <f>IFERROR(VLOOKUP(Costing[[#This Row],[Bookkeeping Team]],Staff_Info[],4,0),"")</f>
        <v>50</v>
      </c>
      <c r="X26" s="22">
        <f>IFERROR(VLOOKUP(Costing[[#This Row],[Bookkeeping Frequency]],Frequency[],2,0),"")</f>
        <v>0.33333333333333331</v>
      </c>
      <c r="Y26" s="55">
        <f>IFERROR(Costing[[#This Row],[Bookkeeping Hours/Month]]*Costing[[#This Row],[Bookkeeping Rate]],0)</f>
        <v>12.5</v>
      </c>
      <c r="Z26" s="11"/>
      <c r="AA26" s="11"/>
      <c r="AB26" s="11"/>
      <c r="AC26" s="11"/>
      <c r="AD26" s="22" t="str">
        <f>IFERROR(Costing[[#This Row],[Minutes/Report]]*Costing[[#This Row],[Reporting Factor]]/60,"")</f>
        <v/>
      </c>
      <c r="AE26" s="23" t="str">
        <f>IFERROR(VLOOKUP(Costing[[#This Row],[Reporting Team]],Staff_Info[],4,0),"")</f>
        <v/>
      </c>
      <c r="AF26" s="22" t="str">
        <f>IFERROR(VLOOKUP(Costing[[#This Row],[Reporting Frequency]],Frequency[],2,0),"")</f>
        <v/>
      </c>
      <c r="AG26" s="55">
        <f>IFERROR(Costing[[#This Row],[Reporting Hours/Month]]*Costing[[#This Row],[Reporting Rate]],0)</f>
        <v>0</v>
      </c>
      <c r="AH26" s="11" t="s">
        <v>179</v>
      </c>
      <c r="AI26" s="11" t="s">
        <v>117</v>
      </c>
      <c r="AJ26" s="11" t="s">
        <v>157</v>
      </c>
      <c r="AK26" s="11">
        <v>60</v>
      </c>
      <c r="AL26" s="22">
        <f>IFERROR(Costing[[#This Row],[Minutes/BAS 1]]*Costing[[#This Row],[BAS 1 Factor]]/60,"")</f>
        <v>0.33333333333333331</v>
      </c>
      <c r="AM26" s="23">
        <f>IFERROR(VLOOKUP(Costing[[#This Row],[BAS 1 Team]],Staff_Info[],4,0),"")</f>
        <v>30</v>
      </c>
      <c r="AN26" s="22">
        <f>IFERROR(VLOOKUP(Costing[[#This Row],[BAS 1 Frequency]],Frequency[],2,0),"")</f>
        <v>0.33333333333333331</v>
      </c>
      <c r="AO26" s="55">
        <f>IFERROR(Costing[[#This Row],[BAS 1 Hours/Month]]*Costing[[#This Row],[BAS 1 Rate]],0)</f>
        <v>10</v>
      </c>
      <c r="AP26" s="11" t="s">
        <v>180</v>
      </c>
      <c r="AQ26" s="11" t="s">
        <v>117</v>
      </c>
      <c r="AR26" s="11" t="s">
        <v>157</v>
      </c>
      <c r="AS26" s="11">
        <v>15</v>
      </c>
      <c r="AT26" s="22">
        <f>IFERROR(Costing[[#This Row],[Minutes/BAS 2]]*Costing[[#This Row],[BAS 2 Factor]]/60,"")</f>
        <v>8.3333333333333329E-2</v>
      </c>
      <c r="AU26" s="23">
        <f>IFERROR(VLOOKUP(Costing[[#This Row],[BAS 2 Team]],Staff_Info[],4,0),"")</f>
        <v>30</v>
      </c>
      <c r="AV26" s="22">
        <f>IFERROR(VLOOKUP(Costing[[#This Row],[BAS 2 Frequency]],Frequency[],2,0),"")</f>
        <v>0.33333333333333331</v>
      </c>
      <c r="AW26" s="55">
        <f>IFERROR(Costing[[#This Row],[BAS 2 Hours/Month]]*Costing[[#This Row],[BAS 2 Rate]],0)</f>
        <v>2.5</v>
      </c>
      <c r="AX26" s="11"/>
      <c r="AY26" s="11"/>
      <c r="AZ26" s="11"/>
      <c r="BA26" s="11"/>
      <c r="BB26" s="22" t="str">
        <f>IFERROR(Costing[[#This Row],[Minutes/IAS]]*Costing[[#This Row],[IAS Factor]]/60,"")</f>
        <v/>
      </c>
      <c r="BC26" s="23" t="str">
        <f>IFERROR(VLOOKUP(Costing[[#This Row],[IAS Team]],Staff_Info[],4,0),"")</f>
        <v/>
      </c>
      <c r="BD26" s="22" t="str">
        <f>IFERROR(VLOOKUP(Costing[[#This Row],[IAS Frequency]],Frequency[],2,0),"")</f>
        <v/>
      </c>
      <c r="BE26" s="56">
        <f>IFERROR(Costing[[#This Row],[IAS Hours/Month]]*Costing[[#This Row],[IAS Rate]],0)</f>
        <v>0</v>
      </c>
      <c r="BF26" s="11" t="s">
        <v>182</v>
      </c>
      <c r="BG26" s="11" t="s">
        <v>119</v>
      </c>
      <c r="BH26" s="11">
        <v>120</v>
      </c>
      <c r="BI26" s="23">
        <f>IFERROR(VLOOKUP(Costing[[#This Row],[EOFY Team 1]],Staff_Info[],4,0),"")</f>
        <v>50</v>
      </c>
      <c r="BJ26" s="57">
        <f>Costing[[#This Row],[Time Min 1]]/12</f>
        <v>10</v>
      </c>
      <c r="BK26" s="11" t="s">
        <v>115</v>
      </c>
      <c r="BL26" s="11">
        <v>120</v>
      </c>
      <c r="BM26" s="23">
        <f>IFERROR(VLOOKUP(Costing[[#This Row],[EOFY Team 2]],Staff_Info[],4,0),"")</f>
        <v>10</v>
      </c>
      <c r="BN26" s="57">
        <f>Costing[[#This Row],[Time Min 2]]/12</f>
        <v>10</v>
      </c>
      <c r="BO26" s="55">
        <f>IFERROR((Costing[[#This Row],[EOFY 1 Min/Month]]/60*Costing[[#This Row],[EOFY Team 1 Rate]])+(Costing[[#This Row],[EOFY 2 Min/Month]]/60*Costing[[#This Row],[EOFY Team 2 Rate]]),0)</f>
        <v>9.9999999999999982</v>
      </c>
      <c r="BP26" s="11"/>
      <c r="BQ26" s="55">
        <f>IFERROR(VLOOKUP(Costing[[#This Row],[Software Name]],Software[],2,0),0)</f>
        <v>0</v>
      </c>
      <c r="BR26" s="59" t="s">
        <v>294</v>
      </c>
      <c r="BS26" s="11" t="s">
        <v>126</v>
      </c>
      <c r="BT26" s="60">
        <f>IF(Costing[[#This Row],[Minutes/Activity]]&gt;0,Costing[[#This Row],[Minutes/Activity]]*Costing[[#This Row],[Onboarding Factor]],"")</f>
        <v>267.75</v>
      </c>
      <c r="BU26" s="60">
        <f>IFERROR(Costing[[#This Row],[Onboarding Minutes]]/60,)</f>
        <v>4.4625000000000004</v>
      </c>
      <c r="BV26" s="60">
        <f t="shared" si="0"/>
        <v>79.92</v>
      </c>
      <c r="BW26" s="61">
        <f>IFERROR(VLOOKUP(Costing[[#This Row],[Onboarding Team]],Staff_Info[],4,0),"")</f>
        <v>50</v>
      </c>
      <c r="BX26" s="60">
        <f t="shared" si="1"/>
        <v>5.95</v>
      </c>
      <c r="BY26" s="55">
        <f>IFERROR(Costing[[#This Row],[Onboarding Hours]]/Costing[[#This Row],[Client Life Expectancy (Months)]]*Costing[[#This Row],[Onboarding Rate]],0)</f>
        <v>2.7918543543543546</v>
      </c>
      <c r="BZ26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37.791854354354356</v>
      </c>
      <c r="CA26" s="27">
        <v>77</v>
      </c>
      <c r="CB26" s="63">
        <f>IFERROR((Costing[[#This Row],[Current Sales Price]]-Costing[[#This Row],[Total  Cost excl. Software]])/Costing[[#This Row],[Current Sales Price]],)</f>
        <v>0.50919669669669665</v>
      </c>
      <c r="CC26" s="64">
        <f>Costing[[#This Row],[Total  Cost excl. Software]]/(1-$CC$1)</f>
        <v>107.97672672672674</v>
      </c>
    </row>
    <row r="27" spans="1:81" x14ac:dyDescent="0.2">
      <c r="A27" s="11" t="s">
        <v>27</v>
      </c>
      <c r="B27" s="48" t="s">
        <v>145</v>
      </c>
      <c r="C27" s="17" t="s">
        <v>115</v>
      </c>
      <c r="D27" s="17" t="s">
        <v>183</v>
      </c>
      <c r="E27" s="17">
        <v>35</v>
      </c>
      <c r="F27" s="21">
        <f>IFERROR(Costing[[#This Row],[Minutes/Pay Run]]*Costing[[#This Row],[Payroll Factor]]/60,"")</f>
        <v>0.58333333333333337</v>
      </c>
      <c r="G27" s="54">
        <f>IFERROR(VLOOKUP(Costing[[#This Row],[Payroll Team]],Staff_Info[],4,0),"")</f>
        <v>10</v>
      </c>
      <c r="H27" s="21">
        <f>IFERROR(VLOOKUP(Costing[[#This Row],[Payroll Frequency]],Frequency[],2,0),"")</f>
        <v>1</v>
      </c>
      <c r="I27" s="55">
        <f>IFERROR(Costing[[#This Row],[Payroll Hours/Month]]*Costing[[#This Row],[Payroll Rate]],0)</f>
        <v>5.8333333333333339</v>
      </c>
      <c r="J27" s="54" t="s">
        <v>176</v>
      </c>
      <c r="K27" s="11" t="s">
        <v>115</v>
      </c>
      <c r="L27" s="11" t="s">
        <v>183</v>
      </c>
      <c r="M27" s="11">
        <v>15</v>
      </c>
      <c r="N27" s="22">
        <f>IFERROR(Costing[[#This Row],[Minutes/Super]]*Costing[[#This Row],[Super Factor]]/60,"")</f>
        <v>0.25</v>
      </c>
      <c r="O27" s="23">
        <f>IFERROR(VLOOKUP(Costing[[#This Row],[Super Team]],Staff_Info[],4,0),"")</f>
        <v>10</v>
      </c>
      <c r="P27" s="22">
        <f>IFERROR(VLOOKUP(Costing[[#This Row],[Super Frequency]],Frequency[],2,0),"")</f>
        <v>1</v>
      </c>
      <c r="Q27" s="55">
        <f>IFERROR(Costing[[#This Row],[Super Hours/Month]]*Costing[[#This Row],[Super Rate]],0)</f>
        <v>2.5</v>
      </c>
      <c r="R27" s="11" t="s">
        <v>177</v>
      </c>
      <c r="S27" s="11" t="s">
        <v>115</v>
      </c>
      <c r="T27" s="11" t="s">
        <v>183</v>
      </c>
      <c r="U27" s="11">
        <v>240</v>
      </c>
      <c r="V27" s="22">
        <f>IFERROR(Costing[[#This Row],[Minutes/Activity]]*Costing[[#This Row],[Bookkeeping Factor]]/60,"")</f>
        <v>4</v>
      </c>
      <c r="W27" s="23">
        <f>IFERROR(VLOOKUP(Costing[[#This Row],[Bookkeeping Team]],Staff_Info[],4,0),"")</f>
        <v>10</v>
      </c>
      <c r="X27" s="22">
        <f>IFERROR(VLOOKUP(Costing[[#This Row],[Bookkeeping Frequency]],Frequency[],2,0),"")</f>
        <v>1</v>
      </c>
      <c r="Y27" s="55">
        <f>IFERROR(Costing[[#This Row],[Bookkeeping Hours/Month]]*Costing[[#This Row],[Bookkeeping Rate]],0)</f>
        <v>40</v>
      </c>
      <c r="Z27" s="11" t="s">
        <v>178</v>
      </c>
      <c r="AA27" s="11" t="s">
        <v>119</v>
      </c>
      <c r="AB27" s="11" t="s">
        <v>183</v>
      </c>
      <c r="AC27" s="11">
        <v>60</v>
      </c>
      <c r="AD27" s="22">
        <f>IFERROR(Costing[[#This Row],[Minutes/Report]]*Costing[[#This Row],[Reporting Factor]]/60,"")</f>
        <v>1</v>
      </c>
      <c r="AE27" s="23">
        <f>IFERROR(VLOOKUP(Costing[[#This Row],[Reporting Team]],Staff_Info[],4,0),"")</f>
        <v>50</v>
      </c>
      <c r="AF27" s="22">
        <f>IFERROR(VLOOKUP(Costing[[#This Row],[Reporting Frequency]],Frequency[],2,0),"")</f>
        <v>1</v>
      </c>
      <c r="AG27" s="55">
        <f>IFERROR(Costing[[#This Row],[Reporting Hours/Month]]*Costing[[#This Row],[Reporting Rate]],0)</f>
        <v>50</v>
      </c>
      <c r="AH27" s="11" t="s">
        <v>179</v>
      </c>
      <c r="AI27" s="11" t="s">
        <v>115</v>
      </c>
      <c r="AJ27" s="11" t="s">
        <v>157</v>
      </c>
      <c r="AK27" s="11">
        <v>60</v>
      </c>
      <c r="AL27" s="22">
        <f>IFERROR(Costing[[#This Row],[Minutes/BAS 1]]*Costing[[#This Row],[BAS 1 Factor]]/60,"")</f>
        <v>0.33333333333333331</v>
      </c>
      <c r="AM27" s="23">
        <f>IFERROR(VLOOKUP(Costing[[#This Row],[BAS 1 Team]],Staff_Info[],4,0),"")</f>
        <v>10</v>
      </c>
      <c r="AN27" s="22">
        <f>IFERROR(VLOOKUP(Costing[[#This Row],[BAS 1 Frequency]],Frequency[],2,0),"")</f>
        <v>0.33333333333333331</v>
      </c>
      <c r="AO27" s="55">
        <f>IFERROR(Costing[[#This Row],[BAS 1 Hours/Month]]*Costing[[#This Row],[BAS 1 Rate]],0)</f>
        <v>3.333333333333333</v>
      </c>
      <c r="AP27" s="11" t="s">
        <v>180</v>
      </c>
      <c r="AQ27" s="11" t="s">
        <v>117</v>
      </c>
      <c r="AR27" s="11" t="s">
        <v>157</v>
      </c>
      <c r="AS27" s="11">
        <v>15</v>
      </c>
      <c r="AT27" s="22">
        <f>IFERROR(Costing[[#This Row],[Minutes/BAS 2]]*Costing[[#This Row],[BAS 2 Factor]]/60,"")</f>
        <v>8.3333333333333329E-2</v>
      </c>
      <c r="AU27" s="23">
        <f>IFERROR(VLOOKUP(Costing[[#This Row],[BAS 2 Team]],Staff_Info[],4,0),"")</f>
        <v>30</v>
      </c>
      <c r="AV27" s="22">
        <f>IFERROR(VLOOKUP(Costing[[#This Row],[BAS 2 Frequency]],Frequency[],2,0),"")</f>
        <v>0.33333333333333331</v>
      </c>
      <c r="AW27" s="55">
        <f>IFERROR(Costing[[#This Row],[BAS 2 Hours/Month]]*Costing[[#This Row],[BAS 2 Rate]],0)</f>
        <v>2.5</v>
      </c>
      <c r="AX27" s="11"/>
      <c r="AY27" s="11"/>
      <c r="AZ27" s="11"/>
      <c r="BA27" s="11"/>
      <c r="BB27" s="22" t="str">
        <f>IFERROR(Costing[[#This Row],[Minutes/IAS]]*Costing[[#This Row],[IAS Factor]]/60,"")</f>
        <v/>
      </c>
      <c r="BC27" s="23" t="str">
        <f>IFERROR(VLOOKUP(Costing[[#This Row],[IAS Team]],Staff_Info[],4,0),"")</f>
        <v/>
      </c>
      <c r="BD27" s="22" t="str">
        <f>IFERROR(VLOOKUP(Costing[[#This Row],[IAS Frequency]],Frequency[],2,0),"")</f>
        <v/>
      </c>
      <c r="BE27" s="56">
        <f>IFERROR(Costing[[#This Row],[IAS Hours/Month]]*Costing[[#This Row],[IAS Rate]],0)</f>
        <v>0</v>
      </c>
      <c r="BF27" s="11" t="s">
        <v>182</v>
      </c>
      <c r="BG27" s="11" t="s">
        <v>119</v>
      </c>
      <c r="BH27" s="11">
        <v>120</v>
      </c>
      <c r="BI27" s="23">
        <f>IFERROR(VLOOKUP(Costing[[#This Row],[EOFY Team 1]],Staff_Info[],4,0),"")</f>
        <v>50</v>
      </c>
      <c r="BJ27" s="57">
        <f>Costing[[#This Row],[Time Min 1]]/12</f>
        <v>10</v>
      </c>
      <c r="BK27" s="11" t="s">
        <v>115</v>
      </c>
      <c r="BL27" s="11">
        <v>120</v>
      </c>
      <c r="BM27" s="23">
        <f>IFERROR(VLOOKUP(Costing[[#This Row],[EOFY Team 2]],Staff_Info[],4,0),"")</f>
        <v>10</v>
      </c>
      <c r="BN27" s="57">
        <f>Costing[[#This Row],[Time Min 2]]/12</f>
        <v>10</v>
      </c>
      <c r="BO27" s="55">
        <f>IFERROR((Costing[[#This Row],[EOFY 1 Min/Month]]/60*Costing[[#This Row],[EOFY Team 1 Rate]])+(Costing[[#This Row],[EOFY 2 Min/Month]]/60*Costing[[#This Row],[EOFY Team 2 Rate]]),0)</f>
        <v>9.9999999999999982</v>
      </c>
      <c r="BP27" s="11" t="s">
        <v>172</v>
      </c>
      <c r="BQ27" s="55">
        <f>IFERROR(VLOOKUP(Costing[[#This Row],[Software Name]],Software[],2,0),0)</f>
        <v>35.72</v>
      </c>
      <c r="BR27" s="59" t="s">
        <v>294</v>
      </c>
      <c r="BS27" s="11" t="s">
        <v>119</v>
      </c>
      <c r="BT27" s="60">
        <f>IF(Costing[[#This Row],[Minutes/Activity]]&gt;0,Costing[[#This Row],[Minutes/Activity]]*Costing[[#This Row],[Onboarding Factor]],"")</f>
        <v>1428</v>
      </c>
      <c r="BU27" s="60">
        <f>IFERROR(Costing[[#This Row],[Onboarding Minutes]]/60,)</f>
        <v>23.8</v>
      </c>
      <c r="BV27" s="60">
        <f t="shared" si="0"/>
        <v>79.92</v>
      </c>
      <c r="BW27" s="61">
        <f>IFERROR(VLOOKUP(Costing[[#This Row],[Onboarding Team]],Staff_Info[],4,0),"")</f>
        <v>50</v>
      </c>
      <c r="BX27" s="60">
        <f t="shared" si="1"/>
        <v>5.95</v>
      </c>
      <c r="BY27" s="55">
        <f>IFERROR(Costing[[#This Row],[Onboarding Hours]]/Costing[[#This Row],[Client Life Expectancy (Months)]]*Costing[[#This Row],[Onboarding Rate]],0)</f>
        <v>14.88988988988989</v>
      </c>
      <c r="BZ27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129.05655655655656</v>
      </c>
      <c r="CA27" s="27">
        <v>721</v>
      </c>
      <c r="CB27" s="63">
        <f>IFERROR((Costing[[#This Row],[Current Sales Price]]-Costing[[#This Row],[Total  Cost excl. Software]])/Costing[[#This Row],[Current Sales Price]],)</f>
        <v>0.82100338896455405</v>
      </c>
      <c r="CC27" s="64">
        <f>Costing[[#This Row],[Total  Cost excl. Software]]/(1-$CC$1)</f>
        <v>368.73301873301875</v>
      </c>
    </row>
    <row r="28" spans="1:81" x14ac:dyDescent="0.2">
      <c r="A28" s="11" t="s">
        <v>28</v>
      </c>
      <c r="B28" s="48" t="s">
        <v>145</v>
      </c>
      <c r="C28" s="17" t="s">
        <v>117</v>
      </c>
      <c r="D28" s="17" t="s">
        <v>183</v>
      </c>
      <c r="E28" s="17">
        <v>10</v>
      </c>
      <c r="F28" s="21">
        <f>IFERROR(Costing[[#This Row],[Minutes/Pay Run]]*Costing[[#This Row],[Payroll Factor]]/60,"")</f>
        <v>0.16666666666666666</v>
      </c>
      <c r="G28" s="54">
        <f>IFERROR(VLOOKUP(Costing[[#This Row],[Payroll Team]],Staff_Info[],4,0),"")</f>
        <v>30</v>
      </c>
      <c r="H28" s="21">
        <f>IFERROR(VLOOKUP(Costing[[#This Row],[Payroll Frequency]],Frequency[],2,0),"")</f>
        <v>1</v>
      </c>
      <c r="I28" s="55">
        <f>IFERROR(Costing[[#This Row],[Payroll Hours/Month]]*Costing[[#This Row],[Payroll Rate]],0)</f>
        <v>5</v>
      </c>
      <c r="J28" s="54" t="s">
        <v>176</v>
      </c>
      <c r="K28" s="11" t="s">
        <v>117</v>
      </c>
      <c r="L28" s="11" t="s">
        <v>183</v>
      </c>
      <c r="M28" s="11">
        <v>10</v>
      </c>
      <c r="N28" s="22">
        <f>IFERROR(Costing[[#This Row],[Minutes/Super]]*Costing[[#This Row],[Super Factor]]/60,"")</f>
        <v>0.16666666666666666</v>
      </c>
      <c r="O28" s="23">
        <f>IFERROR(VLOOKUP(Costing[[#This Row],[Super Team]],Staff_Info[],4,0),"")</f>
        <v>30</v>
      </c>
      <c r="P28" s="22">
        <f>IFERROR(VLOOKUP(Costing[[#This Row],[Super Frequency]],Frequency[],2,0),"")</f>
        <v>1</v>
      </c>
      <c r="Q28" s="55">
        <f>IFERROR(Costing[[#This Row],[Super Hours/Month]]*Costing[[#This Row],[Super Rate]],0)</f>
        <v>5</v>
      </c>
      <c r="R28" s="11" t="s">
        <v>177</v>
      </c>
      <c r="S28" s="11" t="s">
        <v>117</v>
      </c>
      <c r="T28" s="11" t="s">
        <v>183</v>
      </c>
      <c r="U28" s="11">
        <v>240</v>
      </c>
      <c r="V28" s="22">
        <f>IFERROR(Costing[[#This Row],[Minutes/Activity]]*Costing[[#This Row],[Bookkeeping Factor]]/60,"")</f>
        <v>4</v>
      </c>
      <c r="W28" s="23">
        <f>IFERROR(VLOOKUP(Costing[[#This Row],[Bookkeeping Team]],Staff_Info[],4,0),"")</f>
        <v>30</v>
      </c>
      <c r="X28" s="22">
        <f>IFERROR(VLOOKUP(Costing[[#This Row],[Bookkeeping Frequency]],Frequency[],2,0),"")</f>
        <v>1</v>
      </c>
      <c r="Y28" s="55">
        <f>IFERROR(Costing[[#This Row],[Bookkeeping Hours/Month]]*Costing[[#This Row],[Bookkeeping Rate]],0)</f>
        <v>120</v>
      </c>
      <c r="Z28" s="11" t="s">
        <v>178</v>
      </c>
      <c r="AA28" s="11" t="s">
        <v>126</v>
      </c>
      <c r="AB28" s="11" t="s">
        <v>183</v>
      </c>
      <c r="AC28" s="11">
        <v>360</v>
      </c>
      <c r="AD28" s="22">
        <f>IFERROR(Costing[[#This Row],[Minutes/Report]]*Costing[[#This Row],[Reporting Factor]]/60,"")</f>
        <v>6</v>
      </c>
      <c r="AE28" s="23">
        <f>IFERROR(VLOOKUP(Costing[[#This Row],[Reporting Team]],Staff_Info[],4,0),"")</f>
        <v>50</v>
      </c>
      <c r="AF28" s="22">
        <f>IFERROR(VLOOKUP(Costing[[#This Row],[Reporting Frequency]],Frequency[],2,0),"")</f>
        <v>1</v>
      </c>
      <c r="AG28" s="55">
        <f>IFERROR(Costing[[#This Row],[Reporting Hours/Month]]*Costing[[#This Row],[Reporting Rate]],0)</f>
        <v>300</v>
      </c>
      <c r="AH28" s="11" t="s">
        <v>179</v>
      </c>
      <c r="AI28" s="11" t="s">
        <v>117</v>
      </c>
      <c r="AJ28" s="11" t="s">
        <v>157</v>
      </c>
      <c r="AK28" s="11">
        <v>60</v>
      </c>
      <c r="AL28" s="22">
        <f>IFERROR(Costing[[#This Row],[Minutes/BAS 1]]*Costing[[#This Row],[BAS 1 Factor]]/60,"")</f>
        <v>0.33333333333333331</v>
      </c>
      <c r="AM28" s="23">
        <f>IFERROR(VLOOKUP(Costing[[#This Row],[BAS 1 Team]],Staff_Info[],4,0),"")</f>
        <v>30</v>
      </c>
      <c r="AN28" s="22">
        <f>IFERROR(VLOOKUP(Costing[[#This Row],[BAS 1 Frequency]],Frequency[],2,0),"")</f>
        <v>0.33333333333333331</v>
      </c>
      <c r="AO28" s="55">
        <f>IFERROR(Costing[[#This Row],[BAS 1 Hours/Month]]*Costing[[#This Row],[BAS 1 Rate]],0)</f>
        <v>10</v>
      </c>
      <c r="AP28" s="11" t="s">
        <v>180</v>
      </c>
      <c r="AQ28" s="11" t="s">
        <v>117</v>
      </c>
      <c r="AR28" s="11" t="s">
        <v>157</v>
      </c>
      <c r="AS28" s="11">
        <v>15</v>
      </c>
      <c r="AT28" s="22">
        <f>IFERROR(Costing[[#This Row],[Minutes/BAS 2]]*Costing[[#This Row],[BAS 2 Factor]]/60,"")</f>
        <v>8.3333333333333329E-2</v>
      </c>
      <c r="AU28" s="23">
        <f>IFERROR(VLOOKUP(Costing[[#This Row],[BAS 2 Team]],Staff_Info[],4,0),"")</f>
        <v>30</v>
      </c>
      <c r="AV28" s="22">
        <f>IFERROR(VLOOKUP(Costing[[#This Row],[BAS 2 Frequency]],Frequency[],2,0),"")</f>
        <v>0.33333333333333331</v>
      </c>
      <c r="AW28" s="55">
        <f>IFERROR(Costing[[#This Row],[BAS 2 Hours/Month]]*Costing[[#This Row],[BAS 2 Rate]],0)</f>
        <v>2.5</v>
      </c>
      <c r="AX28" s="11"/>
      <c r="AY28" s="11"/>
      <c r="AZ28" s="11"/>
      <c r="BA28" s="11"/>
      <c r="BB28" s="22" t="str">
        <f>IFERROR(Costing[[#This Row],[Minutes/IAS]]*Costing[[#This Row],[IAS Factor]]/60,"")</f>
        <v/>
      </c>
      <c r="BC28" s="23" t="str">
        <f>IFERROR(VLOOKUP(Costing[[#This Row],[IAS Team]],Staff_Info[],4,0),"")</f>
        <v/>
      </c>
      <c r="BD28" s="22" t="str">
        <f>IFERROR(VLOOKUP(Costing[[#This Row],[IAS Frequency]],Frequency[],2,0),"")</f>
        <v/>
      </c>
      <c r="BE28" s="56">
        <f>IFERROR(Costing[[#This Row],[IAS Hours/Month]]*Costing[[#This Row],[IAS Rate]],0)</f>
        <v>0</v>
      </c>
      <c r="BF28" s="11" t="s">
        <v>182</v>
      </c>
      <c r="BG28" s="11" t="s">
        <v>126</v>
      </c>
      <c r="BH28" s="11">
        <v>120</v>
      </c>
      <c r="BI28" s="23">
        <f>IFERROR(VLOOKUP(Costing[[#This Row],[EOFY Team 1]],Staff_Info[],4,0),"")</f>
        <v>50</v>
      </c>
      <c r="BJ28" s="57">
        <f>Costing[[#This Row],[Time Min 1]]/12</f>
        <v>10</v>
      </c>
      <c r="BK28" s="11" t="s">
        <v>117</v>
      </c>
      <c r="BL28" s="11">
        <v>120</v>
      </c>
      <c r="BM28" s="23">
        <f>IFERROR(VLOOKUP(Costing[[#This Row],[EOFY Team 2]],Staff_Info[],4,0),"")</f>
        <v>30</v>
      </c>
      <c r="BN28" s="57">
        <f>Costing[[#This Row],[Time Min 2]]/12</f>
        <v>10</v>
      </c>
      <c r="BO28" s="55">
        <f>IFERROR((Costing[[#This Row],[EOFY 1 Min/Month]]/60*Costing[[#This Row],[EOFY Team 1 Rate]])+(Costing[[#This Row],[EOFY 2 Min/Month]]/60*Costing[[#This Row],[EOFY Team 2 Rate]]),0)</f>
        <v>13.333333333333332</v>
      </c>
      <c r="BP28" s="11" t="s">
        <v>164</v>
      </c>
      <c r="BQ28" s="55">
        <f>IFERROR(VLOOKUP(Costing[[#This Row],[Software Name]],Software[],2,0),0)</f>
        <v>47.27</v>
      </c>
      <c r="BR28" s="59" t="s">
        <v>294</v>
      </c>
      <c r="BS28" s="11" t="s">
        <v>126</v>
      </c>
      <c r="BT28" s="60">
        <f>IF(Costing[[#This Row],[Minutes/Activity]]&gt;0,Costing[[#This Row],[Minutes/Activity]]*Costing[[#This Row],[Onboarding Factor]],"")</f>
        <v>1428</v>
      </c>
      <c r="BU28" s="60">
        <f>IFERROR(Costing[[#This Row],[Onboarding Minutes]]/60,)</f>
        <v>23.8</v>
      </c>
      <c r="BV28" s="60">
        <f t="shared" si="0"/>
        <v>79.92</v>
      </c>
      <c r="BW28" s="61">
        <f>IFERROR(VLOOKUP(Costing[[#This Row],[Onboarding Team]],Staff_Info[],4,0),"")</f>
        <v>50</v>
      </c>
      <c r="BX28" s="60">
        <f t="shared" si="1"/>
        <v>5.95</v>
      </c>
      <c r="BY28" s="55">
        <f>IFERROR(Costing[[#This Row],[Onboarding Hours]]/Costing[[#This Row],[Client Life Expectancy (Months)]]*Costing[[#This Row],[Onboarding Rate]],0)</f>
        <v>14.88988988988989</v>
      </c>
      <c r="BZ28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470.72322322322321</v>
      </c>
      <c r="CA28" s="27">
        <v>2759</v>
      </c>
      <c r="CB28" s="63">
        <f>IFERROR((Costing[[#This Row],[Current Sales Price]]-Costing[[#This Row],[Total  Cost excl. Software]])/Costing[[#This Row],[Current Sales Price]],)</f>
        <v>0.82938629096657368</v>
      </c>
      <c r="CC28" s="64">
        <f>Costing[[#This Row],[Total  Cost excl. Software]]/(1-$CC$1)</f>
        <v>1344.9234949234949</v>
      </c>
    </row>
    <row r="29" spans="1:81" x14ac:dyDescent="0.2">
      <c r="A29" s="11" t="s">
        <v>29</v>
      </c>
      <c r="B29" s="48" t="s">
        <v>145</v>
      </c>
      <c r="C29" s="17" t="s">
        <v>117</v>
      </c>
      <c r="D29" s="17" t="s">
        <v>154</v>
      </c>
      <c r="E29" s="17">
        <v>30</v>
      </c>
      <c r="F29" s="21">
        <f>IFERROR(Costing[[#This Row],[Minutes/Pay Run]]*Costing[[#This Row],[Payroll Factor]]/60,"")</f>
        <v>2.1666666666666665</v>
      </c>
      <c r="G29" s="54">
        <f>IFERROR(VLOOKUP(Costing[[#This Row],[Payroll Team]],Staff_Info[],4,0),"")</f>
        <v>30</v>
      </c>
      <c r="H29" s="21">
        <f>IFERROR(VLOOKUP(Costing[[#This Row],[Payroll Frequency]],Frequency[],2,0),"")</f>
        <v>4.333333333333333</v>
      </c>
      <c r="I29" s="55">
        <f>IFERROR(Costing[[#This Row],[Payroll Hours/Month]]*Costing[[#This Row],[Payroll Rate]],0)</f>
        <v>65</v>
      </c>
      <c r="J29" s="54" t="s">
        <v>176</v>
      </c>
      <c r="K29" s="11" t="s">
        <v>117</v>
      </c>
      <c r="L29" s="11" t="s">
        <v>157</v>
      </c>
      <c r="M29" s="11">
        <v>15</v>
      </c>
      <c r="N29" s="22">
        <f>IFERROR(Costing[[#This Row],[Minutes/Super]]*Costing[[#This Row],[Super Factor]]/60,"")</f>
        <v>8.3333333333333329E-2</v>
      </c>
      <c r="O29" s="23">
        <f>IFERROR(VLOOKUP(Costing[[#This Row],[Super Team]],Staff_Info[],4,0),"")</f>
        <v>30</v>
      </c>
      <c r="P29" s="22">
        <f>IFERROR(VLOOKUP(Costing[[#This Row],[Super Frequency]],Frequency[],2,0),"")</f>
        <v>0.33333333333333331</v>
      </c>
      <c r="Q29" s="55">
        <f>IFERROR(Costing[[#This Row],[Super Hours/Month]]*Costing[[#This Row],[Super Rate]],0)</f>
        <v>2.5</v>
      </c>
      <c r="R29" s="11" t="s">
        <v>177</v>
      </c>
      <c r="S29" s="11" t="s">
        <v>117</v>
      </c>
      <c r="T29" s="11" t="s">
        <v>183</v>
      </c>
      <c r="U29" s="11">
        <v>120</v>
      </c>
      <c r="V29" s="22">
        <f>IFERROR(Costing[[#This Row],[Minutes/Activity]]*Costing[[#This Row],[Bookkeeping Factor]]/60,"")</f>
        <v>2</v>
      </c>
      <c r="W29" s="23">
        <f>IFERROR(VLOOKUP(Costing[[#This Row],[Bookkeeping Team]],Staff_Info[],4,0),"")</f>
        <v>30</v>
      </c>
      <c r="X29" s="22">
        <f>IFERROR(VLOOKUP(Costing[[#This Row],[Bookkeeping Frequency]],Frequency[],2,0),"")</f>
        <v>1</v>
      </c>
      <c r="Y29" s="55">
        <f>IFERROR(Costing[[#This Row],[Bookkeeping Hours/Month]]*Costing[[#This Row],[Bookkeeping Rate]],0)</f>
        <v>60</v>
      </c>
      <c r="Z29" s="11" t="s">
        <v>178</v>
      </c>
      <c r="AA29" s="11" t="s">
        <v>119</v>
      </c>
      <c r="AB29" s="11" t="s">
        <v>183</v>
      </c>
      <c r="AC29" s="11">
        <v>20</v>
      </c>
      <c r="AD29" s="22">
        <f>IFERROR(Costing[[#This Row],[Minutes/Report]]*Costing[[#This Row],[Reporting Factor]]/60,"")</f>
        <v>0.33333333333333331</v>
      </c>
      <c r="AE29" s="23">
        <f>IFERROR(VLOOKUP(Costing[[#This Row],[Reporting Team]],Staff_Info[],4,0),"")</f>
        <v>50</v>
      </c>
      <c r="AF29" s="22">
        <f>IFERROR(VLOOKUP(Costing[[#This Row],[Reporting Frequency]],Frequency[],2,0),"")</f>
        <v>1</v>
      </c>
      <c r="AG29" s="55">
        <f>IFERROR(Costing[[#This Row],[Reporting Hours/Month]]*Costing[[#This Row],[Reporting Rate]],0)</f>
        <v>16.666666666666664</v>
      </c>
      <c r="AH29" s="11" t="s">
        <v>179</v>
      </c>
      <c r="AI29" s="11" t="s">
        <v>117</v>
      </c>
      <c r="AJ29" s="11" t="s">
        <v>157</v>
      </c>
      <c r="AK29" s="11">
        <v>60</v>
      </c>
      <c r="AL29" s="22">
        <f>IFERROR(Costing[[#This Row],[Minutes/BAS 1]]*Costing[[#This Row],[BAS 1 Factor]]/60,"")</f>
        <v>0.33333333333333331</v>
      </c>
      <c r="AM29" s="23">
        <f>IFERROR(VLOOKUP(Costing[[#This Row],[BAS 1 Team]],Staff_Info[],4,0),"")</f>
        <v>30</v>
      </c>
      <c r="AN29" s="22">
        <f>IFERROR(VLOOKUP(Costing[[#This Row],[BAS 1 Frequency]],Frequency[],2,0),"")</f>
        <v>0.33333333333333331</v>
      </c>
      <c r="AO29" s="55">
        <f>IFERROR(Costing[[#This Row],[BAS 1 Hours/Month]]*Costing[[#This Row],[BAS 1 Rate]],0)</f>
        <v>10</v>
      </c>
      <c r="AP29" s="11" t="s">
        <v>180</v>
      </c>
      <c r="AQ29" s="11" t="s">
        <v>117</v>
      </c>
      <c r="AR29" s="11" t="s">
        <v>157</v>
      </c>
      <c r="AS29" s="11">
        <v>15</v>
      </c>
      <c r="AT29" s="22">
        <f>IFERROR(Costing[[#This Row],[Minutes/BAS 2]]*Costing[[#This Row],[BAS 2 Factor]]/60,"")</f>
        <v>8.3333333333333329E-2</v>
      </c>
      <c r="AU29" s="23">
        <f>IFERROR(VLOOKUP(Costing[[#This Row],[BAS 2 Team]],Staff_Info[],4,0),"")</f>
        <v>30</v>
      </c>
      <c r="AV29" s="22">
        <f>IFERROR(VLOOKUP(Costing[[#This Row],[BAS 2 Frequency]],Frequency[],2,0),"")</f>
        <v>0.33333333333333331</v>
      </c>
      <c r="AW29" s="55">
        <f>IFERROR(Costing[[#This Row],[BAS 2 Hours/Month]]*Costing[[#This Row],[BAS 2 Rate]],0)</f>
        <v>2.5</v>
      </c>
      <c r="AX29" s="11"/>
      <c r="AY29" s="11"/>
      <c r="AZ29" s="11"/>
      <c r="BA29" s="11"/>
      <c r="BB29" s="22" t="str">
        <f>IFERROR(Costing[[#This Row],[Minutes/IAS]]*Costing[[#This Row],[IAS Factor]]/60,"")</f>
        <v/>
      </c>
      <c r="BC29" s="23" t="str">
        <f>IFERROR(VLOOKUP(Costing[[#This Row],[IAS Team]],Staff_Info[],4,0),"")</f>
        <v/>
      </c>
      <c r="BD29" s="22" t="str">
        <f>IFERROR(VLOOKUP(Costing[[#This Row],[IAS Frequency]],Frequency[],2,0),"")</f>
        <v/>
      </c>
      <c r="BE29" s="56">
        <f>IFERROR(Costing[[#This Row],[IAS Hours/Month]]*Costing[[#This Row],[IAS Rate]],0)</f>
        <v>0</v>
      </c>
      <c r="BF29" s="11" t="s">
        <v>182</v>
      </c>
      <c r="BG29" s="11" t="s">
        <v>119</v>
      </c>
      <c r="BH29" s="11">
        <v>120</v>
      </c>
      <c r="BI29" s="23">
        <f>IFERROR(VLOOKUP(Costing[[#This Row],[EOFY Team 1]],Staff_Info[],4,0),"")</f>
        <v>50</v>
      </c>
      <c r="BJ29" s="57">
        <f>Costing[[#This Row],[Time Min 1]]/12</f>
        <v>10</v>
      </c>
      <c r="BK29" s="11" t="s">
        <v>117</v>
      </c>
      <c r="BL29" s="11">
        <v>120</v>
      </c>
      <c r="BM29" s="23">
        <f>IFERROR(VLOOKUP(Costing[[#This Row],[EOFY Team 2]],Staff_Info[],4,0),"")</f>
        <v>30</v>
      </c>
      <c r="BN29" s="57">
        <f>Costing[[#This Row],[Time Min 2]]/12</f>
        <v>10</v>
      </c>
      <c r="BO29" s="55">
        <f>IFERROR((Costing[[#This Row],[EOFY 1 Min/Month]]/60*Costing[[#This Row],[EOFY Team 1 Rate]])+(Costing[[#This Row],[EOFY 2 Min/Month]]/60*Costing[[#This Row],[EOFY Team 2 Rate]]),0)</f>
        <v>13.333333333333332</v>
      </c>
      <c r="BP29" s="11" t="s">
        <v>172</v>
      </c>
      <c r="BQ29" s="55">
        <f>IFERROR(VLOOKUP(Costing[[#This Row],[Software Name]],Software[],2,0),0)</f>
        <v>35.72</v>
      </c>
      <c r="BR29" s="59" t="s">
        <v>294</v>
      </c>
      <c r="BS29" s="11" t="s">
        <v>119</v>
      </c>
      <c r="BT29" s="60">
        <f>IF(Costing[[#This Row],[Minutes/Activity]]&gt;0,Costing[[#This Row],[Minutes/Activity]]*Costing[[#This Row],[Onboarding Factor]],"")</f>
        <v>714</v>
      </c>
      <c r="BU29" s="60">
        <f>IFERROR(Costing[[#This Row],[Onboarding Minutes]]/60,)</f>
        <v>11.9</v>
      </c>
      <c r="BV29" s="60">
        <f t="shared" si="0"/>
        <v>79.92</v>
      </c>
      <c r="BW29" s="61">
        <f>IFERROR(VLOOKUP(Costing[[#This Row],[Onboarding Team]],Staff_Info[],4,0),"")</f>
        <v>50</v>
      </c>
      <c r="BX29" s="60">
        <f t="shared" si="1"/>
        <v>5.95</v>
      </c>
      <c r="BY29" s="55">
        <f>IFERROR(Costing[[#This Row],[Onboarding Hours]]/Costing[[#This Row],[Client Life Expectancy (Months)]]*Costing[[#This Row],[Onboarding Rate]],0)</f>
        <v>7.444944944944945</v>
      </c>
      <c r="BZ29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177.44494494494495</v>
      </c>
      <c r="CA29" s="27">
        <v>459.77</v>
      </c>
      <c r="CB29" s="63">
        <f>IFERROR((Costing[[#This Row],[Current Sales Price]]-Costing[[#This Row],[Total  Cost excl. Software]])/Costing[[#This Row],[Current Sales Price]],)</f>
        <v>0.61405714825903179</v>
      </c>
      <c r="CC29" s="64">
        <f>Costing[[#This Row],[Total  Cost excl. Software]]/(1-$CC$1)</f>
        <v>506.98555698555703</v>
      </c>
    </row>
    <row r="30" spans="1:81" x14ac:dyDescent="0.2">
      <c r="A30" s="11" t="s">
        <v>30</v>
      </c>
      <c r="B30" s="48"/>
      <c r="C30" s="17"/>
      <c r="D30" s="17"/>
      <c r="E30" s="17"/>
      <c r="F30" s="21" t="str">
        <f>IFERROR(Costing[[#This Row],[Minutes/Pay Run]]*Costing[[#This Row],[Payroll Factor]]/60,"")</f>
        <v/>
      </c>
      <c r="G30" s="54" t="str">
        <f>IFERROR(VLOOKUP(Costing[[#This Row],[Payroll Team]],Staff_Info[],4,0),"")</f>
        <v/>
      </c>
      <c r="H30" s="21" t="str">
        <f>IFERROR(VLOOKUP(Costing[[#This Row],[Payroll Frequency]],Frequency[],2,0),"")</f>
        <v/>
      </c>
      <c r="I30" s="55">
        <f>IFERROR(Costing[[#This Row],[Payroll Hours/Month]]*Costing[[#This Row],[Payroll Rate]],0)</f>
        <v>0</v>
      </c>
      <c r="J30" s="54"/>
      <c r="K30" s="11"/>
      <c r="L30" s="11"/>
      <c r="M30" s="11"/>
      <c r="N30" s="22" t="str">
        <f>IFERROR(Costing[[#This Row],[Minutes/Super]]*Costing[[#This Row],[Super Factor]]/60,"")</f>
        <v/>
      </c>
      <c r="O30" s="23" t="str">
        <f>IFERROR(VLOOKUP(Costing[[#This Row],[Super Team]],Staff_Info[],4,0),"")</f>
        <v/>
      </c>
      <c r="P30" s="22" t="str">
        <f>IFERROR(VLOOKUP(Costing[[#This Row],[Super Frequency]],Frequency[],2,0),"")</f>
        <v/>
      </c>
      <c r="Q30" s="55">
        <f>IFERROR(Costing[[#This Row],[Super Hours/Month]]*Costing[[#This Row],[Super Rate]],0)</f>
        <v>0</v>
      </c>
      <c r="R30" s="11" t="s">
        <v>177</v>
      </c>
      <c r="S30" s="11" t="s">
        <v>119</v>
      </c>
      <c r="T30" s="11" t="s">
        <v>183</v>
      </c>
      <c r="U30" s="11">
        <v>120</v>
      </c>
      <c r="V30" s="22">
        <f>IFERROR(Costing[[#This Row],[Minutes/Activity]]*Costing[[#This Row],[Bookkeeping Factor]]/60,"")</f>
        <v>2</v>
      </c>
      <c r="W30" s="23">
        <f>IFERROR(VLOOKUP(Costing[[#This Row],[Bookkeeping Team]],Staff_Info[],4,0),"")</f>
        <v>50</v>
      </c>
      <c r="X30" s="22">
        <f>IFERROR(VLOOKUP(Costing[[#This Row],[Bookkeeping Frequency]],Frequency[],2,0),"")</f>
        <v>1</v>
      </c>
      <c r="Y30" s="55">
        <f>IFERROR(Costing[[#This Row],[Bookkeeping Hours/Month]]*Costing[[#This Row],[Bookkeeping Rate]],0)</f>
        <v>100</v>
      </c>
      <c r="Z30" s="11"/>
      <c r="AA30" s="11"/>
      <c r="AB30" s="11"/>
      <c r="AC30" s="11"/>
      <c r="AD30" s="22" t="str">
        <f>IFERROR(Costing[[#This Row],[Minutes/Report]]*Costing[[#This Row],[Reporting Factor]]/60,"")</f>
        <v/>
      </c>
      <c r="AE30" s="23" t="str">
        <f>IFERROR(VLOOKUP(Costing[[#This Row],[Reporting Team]],Staff_Info[],4,0),"")</f>
        <v/>
      </c>
      <c r="AF30" s="22" t="str">
        <f>IFERROR(VLOOKUP(Costing[[#This Row],[Reporting Frequency]],Frequency[],2,0),"")</f>
        <v/>
      </c>
      <c r="AG30" s="55">
        <f>IFERROR(Costing[[#This Row],[Reporting Hours/Month]]*Costing[[#This Row],[Reporting Rate]],0)</f>
        <v>0</v>
      </c>
      <c r="AH30" s="11" t="s">
        <v>179</v>
      </c>
      <c r="AI30" s="11" t="s">
        <v>115</v>
      </c>
      <c r="AJ30" s="11" t="s">
        <v>157</v>
      </c>
      <c r="AK30" s="11">
        <v>60</v>
      </c>
      <c r="AL30" s="22">
        <f>IFERROR(Costing[[#This Row],[Minutes/BAS 1]]*Costing[[#This Row],[BAS 1 Factor]]/60,"")</f>
        <v>0.33333333333333331</v>
      </c>
      <c r="AM30" s="23">
        <f>IFERROR(VLOOKUP(Costing[[#This Row],[BAS 1 Team]],Staff_Info[],4,0),"")</f>
        <v>10</v>
      </c>
      <c r="AN30" s="22">
        <f>IFERROR(VLOOKUP(Costing[[#This Row],[BAS 1 Frequency]],Frequency[],2,0),"")</f>
        <v>0.33333333333333331</v>
      </c>
      <c r="AO30" s="55">
        <f>IFERROR(Costing[[#This Row],[BAS 1 Hours/Month]]*Costing[[#This Row],[BAS 1 Rate]],0)</f>
        <v>3.333333333333333</v>
      </c>
      <c r="AP30" s="11" t="s">
        <v>180</v>
      </c>
      <c r="AQ30" s="11" t="s">
        <v>117</v>
      </c>
      <c r="AR30" s="11" t="s">
        <v>157</v>
      </c>
      <c r="AS30" s="11">
        <v>15</v>
      </c>
      <c r="AT30" s="22">
        <f>IFERROR(Costing[[#This Row],[Minutes/BAS 2]]*Costing[[#This Row],[BAS 2 Factor]]/60,"")</f>
        <v>8.3333333333333329E-2</v>
      </c>
      <c r="AU30" s="23">
        <f>IFERROR(VLOOKUP(Costing[[#This Row],[BAS 2 Team]],Staff_Info[],4,0),"")</f>
        <v>30</v>
      </c>
      <c r="AV30" s="22">
        <f>IFERROR(VLOOKUP(Costing[[#This Row],[BAS 2 Frequency]],Frequency[],2,0),"")</f>
        <v>0.33333333333333331</v>
      </c>
      <c r="AW30" s="55">
        <f>IFERROR(Costing[[#This Row],[BAS 2 Hours/Month]]*Costing[[#This Row],[BAS 2 Rate]],0)</f>
        <v>2.5</v>
      </c>
      <c r="AX30" s="11" t="s">
        <v>181</v>
      </c>
      <c r="AY30" s="11" t="s">
        <v>117</v>
      </c>
      <c r="AZ30" s="11" t="s">
        <v>183</v>
      </c>
      <c r="BA30" s="11">
        <v>30</v>
      </c>
      <c r="BB30" s="22">
        <f>IFERROR(Costing[[#This Row],[Minutes/IAS]]*Costing[[#This Row],[IAS Factor]]/60,"")</f>
        <v>0.5</v>
      </c>
      <c r="BC30" s="23">
        <f>IFERROR(VLOOKUP(Costing[[#This Row],[IAS Team]],Staff_Info[],4,0),"")</f>
        <v>30</v>
      </c>
      <c r="BD30" s="22">
        <f>IFERROR(VLOOKUP(Costing[[#This Row],[IAS Frequency]],Frequency[],2,0),"")</f>
        <v>1</v>
      </c>
      <c r="BE30" s="56">
        <f>IFERROR(Costing[[#This Row],[IAS Hours/Month]]*Costing[[#This Row],[IAS Rate]],0)</f>
        <v>15</v>
      </c>
      <c r="BF30" s="11" t="s">
        <v>182</v>
      </c>
      <c r="BG30" s="11" t="s">
        <v>119</v>
      </c>
      <c r="BH30" s="11">
        <v>150</v>
      </c>
      <c r="BI30" s="23">
        <f>IFERROR(VLOOKUP(Costing[[#This Row],[EOFY Team 1]],Staff_Info[],4,0),"")</f>
        <v>50</v>
      </c>
      <c r="BJ30" s="57">
        <f>Costing[[#This Row],[Time Min 1]]/12</f>
        <v>12.5</v>
      </c>
      <c r="BK30" s="11"/>
      <c r="BL30" s="11"/>
      <c r="BM30" s="23" t="str">
        <f>IFERROR(VLOOKUP(Costing[[#This Row],[EOFY Team 2]],Staff_Info[],4,0),"")</f>
        <v/>
      </c>
      <c r="BN30" s="57">
        <f>Costing[[#This Row],[Time Min 2]]/12</f>
        <v>0</v>
      </c>
      <c r="BO30" s="55">
        <f>IFERROR((Costing[[#This Row],[EOFY 1 Min/Month]]/60*Costing[[#This Row],[EOFY Team 1 Rate]])+(Costing[[#This Row],[EOFY 2 Min/Month]]/60*Costing[[#This Row],[EOFY Team 2 Rate]]),0)</f>
        <v>0</v>
      </c>
      <c r="BP30" s="11" t="s">
        <v>166</v>
      </c>
      <c r="BQ30" s="55">
        <f>IFERROR(VLOOKUP(Costing[[#This Row],[Software Name]],Software[],2,0),0)</f>
        <v>65.459999999999994</v>
      </c>
      <c r="BR30" s="59" t="s">
        <v>294</v>
      </c>
      <c r="BS30" s="11" t="s">
        <v>119</v>
      </c>
      <c r="BT30" s="60">
        <f>IF(Costing[[#This Row],[Minutes/Activity]]&gt;0,Costing[[#This Row],[Minutes/Activity]]*Costing[[#This Row],[Onboarding Factor]],"")</f>
        <v>714</v>
      </c>
      <c r="BU30" s="60">
        <f>IFERROR(Costing[[#This Row],[Onboarding Minutes]]/60,)</f>
        <v>11.9</v>
      </c>
      <c r="BV30" s="60">
        <f t="shared" si="0"/>
        <v>79.92</v>
      </c>
      <c r="BW30" s="61">
        <f>IFERROR(VLOOKUP(Costing[[#This Row],[Onboarding Team]],Staff_Info[],4,0),"")</f>
        <v>50</v>
      </c>
      <c r="BX30" s="60">
        <f t="shared" si="1"/>
        <v>5.95</v>
      </c>
      <c r="BY30" s="55">
        <f>IFERROR(Costing[[#This Row],[Onboarding Hours]]/Costing[[#This Row],[Client Life Expectancy (Months)]]*Costing[[#This Row],[Onboarding Rate]],0)</f>
        <v>7.444944944944945</v>
      </c>
      <c r="BZ30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128.27827827827826</v>
      </c>
      <c r="CA30" s="27">
        <v>370</v>
      </c>
      <c r="CB30" s="63">
        <f>IFERROR((Costing[[#This Row],[Current Sales Price]]-Costing[[#This Row],[Total  Cost excl. Software]])/Costing[[#This Row],[Current Sales Price]],)</f>
        <v>0.65330195059924789</v>
      </c>
      <c r="CC30" s="64">
        <f>Costing[[#This Row],[Total  Cost excl. Software]]/(1-$CC$1)</f>
        <v>366.50936650936649</v>
      </c>
    </row>
    <row r="31" spans="1:81" x14ac:dyDescent="0.2">
      <c r="A31" s="11" t="s">
        <v>25</v>
      </c>
      <c r="B31" s="48" t="s">
        <v>145</v>
      </c>
      <c r="C31" s="17" t="s">
        <v>118</v>
      </c>
      <c r="D31" s="17" t="s">
        <v>154</v>
      </c>
      <c r="E31" s="17">
        <v>20</v>
      </c>
      <c r="F31" s="21">
        <f>IFERROR(Costing[[#This Row],[Minutes/Pay Run]]*Costing[[#This Row],[Payroll Factor]]/60,"")</f>
        <v>1.4444444444444442</v>
      </c>
      <c r="G31" s="54">
        <f>IFERROR(VLOOKUP(Costing[[#This Row],[Payroll Team]],Staff_Info[],4,0),"")</f>
        <v>10</v>
      </c>
      <c r="H31" s="21">
        <f>IFERROR(VLOOKUP(Costing[[#This Row],[Payroll Frequency]],Frequency[],2,0),"")</f>
        <v>4.333333333333333</v>
      </c>
      <c r="I31" s="55">
        <f>IFERROR(Costing[[#This Row],[Payroll Hours/Month]]*Costing[[#This Row],[Payroll Rate]],0)</f>
        <v>14.444444444444443</v>
      </c>
      <c r="J31" s="54" t="s">
        <v>176</v>
      </c>
      <c r="K31" s="11" t="s">
        <v>118</v>
      </c>
      <c r="L31" s="11" t="s">
        <v>157</v>
      </c>
      <c r="M31" s="11">
        <v>15</v>
      </c>
      <c r="N31" s="22">
        <f>IFERROR(Costing[[#This Row],[Minutes/Super]]*Costing[[#This Row],[Super Factor]]/60,"")</f>
        <v>8.3333333333333329E-2</v>
      </c>
      <c r="O31" s="23">
        <f>IFERROR(VLOOKUP(Costing[[#This Row],[Super Team]],Staff_Info[],4,0),"")</f>
        <v>10</v>
      </c>
      <c r="P31" s="22">
        <f>IFERROR(VLOOKUP(Costing[[#This Row],[Super Frequency]],Frequency[],2,0),"")</f>
        <v>0.33333333333333331</v>
      </c>
      <c r="Q31" s="55">
        <f>IFERROR(Costing[[#This Row],[Super Hours/Month]]*Costing[[#This Row],[Super Rate]],0)</f>
        <v>0.83333333333333326</v>
      </c>
      <c r="R31" s="11"/>
      <c r="S31" s="11"/>
      <c r="T31" s="11"/>
      <c r="U31" s="11"/>
      <c r="V31" s="22" t="str">
        <f>IFERROR(Costing[[#This Row],[Minutes/Activity]]*Costing[[#This Row],[Bookkeeping Factor]]/60,"")</f>
        <v/>
      </c>
      <c r="W31" s="23" t="str">
        <f>IFERROR(VLOOKUP(Costing[[#This Row],[Bookkeeping Team]],Staff_Info[],4,0),"")</f>
        <v/>
      </c>
      <c r="X31" s="22" t="str">
        <f>IFERROR(VLOOKUP(Costing[[#This Row],[Bookkeeping Frequency]],Frequency[],2,0),"")</f>
        <v/>
      </c>
      <c r="Y31" s="55">
        <f>IFERROR(Costing[[#This Row],[Bookkeeping Hours/Month]]*Costing[[#This Row],[Bookkeeping Rate]],0)</f>
        <v>0</v>
      </c>
      <c r="Z31" s="11"/>
      <c r="AA31" s="11"/>
      <c r="AB31" s="11"/>
      <c r="AC31" s="11"/>
      <c r="AD31" s="22" t="str">
        <f>IFERROR(Costing[[#This Row],[Minutes/Report]]*Costing[[#This Row],[Reporting Factor]]/60,"")</f>
        <v/>
      </c>
      <c r="AE31" s="23" t="str">
        <f>IFERROR(VLOOKUP(Costing[[#This Row],[Reporting Team]],Staff_Info[],4,0),"")</f>
        <v/>
      </c>
      <c r="AF31" s="22" t="str">
        <f>IFERROR(VLOOKUP(Costing[[#This Row],[Reporting Frequency]],Frequency[],2,0),"")</f>
        <v/>
      </c>
      <c r="AG31" s="55">
        <f>IFERROR(Costing[[#This Row],[Reporting Hours/Month]]*Costing[[#This Row],[Reporting Rate]],0)</f>
        <v>0</v>
      </c>
      <c r="AH31" s="11" t="s">
        <v>179</v>
      </c>
      <c r="AI31" s="11" t="s">
        <v>118</v>
      </c>
      <c r="AJ31" s="11" t="s">
        <v>157</v>
      </c>
      <c r="AK31" s="11">
        <v>60</v>
      </c>
      <c r="AL31" s="22">
        <f>IFERROR(Costing[[#This Row],[Minutes/BAS 1]]*Costing[[#This Row],[BAS 1 Factor]]/60,"")</f>
        <v>0.33333333333333331</v>
      </c>
      <c r="AM31" s="23">
        <f>IFERROR(VLOOKUP(Costing[[#This Row],[BAS 1 Team]],Staff_Info[],4,0),"")</f>
        <v>10</v>
      </c>
      <c r="AN31" s="22">
        <f>IFERROR(VLOOKUP(Costing[[#This Row],[BAS 1 Frequency]],Frequency[],2,0),"")</f>
        <v>0.33333333333333331</v>
      </c>
      <c r="AO31" s="55">
        <f>IFERROR(Costing[[#This Row],[BAS 1 Hours/Month]]*Costing[[#This Row],[BAS 1 Rate]],0)</f>
        <v>3.333333333333333</v>
      </c>
      <c r="AP31" s="11" t="s">
        <v>180</v>
      </c>
      <c r="AQ31" s="11" t="s">
        <v>117</v>
      </c>
      <c r="AR31" s="11" t="s">
        <v>157</v>
      </c>
      <c r="AS31" s="11">
        <v>15</v>
      </c>
      <c r="AT31" s="22">
        <f>IFERROR(Costing[[#This Row],[Minutes/BAS 2]]*Costing[[#This Row],[BAS 2 Factor]]/60,"")</f>
        <v>8.3333333333333329E-2</v>
      </c>
      <c r="AU31" s="23">
        <f>IFERROR(VLOOKUP(Costing[[#This Row],[BAS 2 Team]],Staff_Info[],4,0),"")</f>
        <v>30</v>
      </c>
      <c r="AV31" s="22">
        <f>IFERROR(VLOOKUP(Costing[[#This Row],[BAS 2 Frequency]],Frequency[],2,0),"")</f>
        <v>0.33333333333333331</v>
      </c>
      <c r="AW31" s="55">
        <f>IFERROR(Costing[[#This Row],[BAS 2 Hours/Month]]*Costing[[#This Row],[BAS 2 Rate]],0)</f>
        <v>2.5</v>
      </c>
      <c r="AX31" s="11"/>
      <c r="AY31" s="11"/>
      <c r="AZ31" s="11"/>
      <c r="BA31" s="11"/>
      <c r="BB31" s="22" t="str">
        <f>IFERROR(Costing[[#This Row],[Minutes/IAS]]*Costing[[#This Row],[IAS Factor]]/60,"")</f>
        <v/>
      </c>
      <c r="BC31" s="23" t="str">
        <f>IFERROR(VLOOKUP(Costing[[#This Row],[IAS Team]],Staff_Info[],4,0),"")</f>
        <v/>
      </c>
      <c r="BD31" s="22" t="str">
        <f>IFERROR(VLOOKUP(Costing[[#This Row],[IAS Frequency]],Frequency[],2,0),"")</f>
        <v/>
      </c>
      <c r="BE31" s="56">
        <f>IFERROR(Costing[[#This Row],[IAS Hours/Month]]*Costing[[#This Row],[IAS Rate]],0)</f>
        <v>0</v>
      </c>
      <c r="BF31" s="11"/>
      <c r="BG31" s="11"/>
      <c r="BH31" s="11"/>
      <c r="BI31" s="23" t="str">
        <f>IFERROR(VLOOKUP(Costing[[#This Row],[EOFY Team 1]],Staff_Info[],4,0),"")</f>
        <v/>
      </c>
      <c r="BJ31" s="57">
        <f>Costing[[#This Row],[Time Min 1]]/12</f>
        <v>0</v>
      </c>
      <c r="BK31" s="11"/>
      <c r="BL31" s="11"/>
      <c r="BM31" s="23" t="str">
        <f>IFERROR(VLOOKUP(Costing[[#This Row],[EOFY Team 2]],Staff_Info[],4,0),"")</f>
        <v/>
      </c>
      <c r="BN31" s="57">
        <f>Costing[[#This Row],[Time Min 2]]/12</f>
        <v>0</v>
      </c>
      <c r="BO31" s="55">
        <f>IFERROR((Costing[[#This Row],[EOFY 1 Min/Month]]/60*Costing[[#This Row],[EOFY Team 1 Rate]])+(Costing[[#This Row],[EOFY 2 Min/Month]]/60*Costing[[#This Row],[EOFY Team 2 Rate]]),0)</f>
        <v>0</v>
      </c>
      <c r="BP31" s="11" t="s">
        <v>169</v>
      </c>
      <c r="BQ31" s="55">
        <f>IFERROR(VLOOKUP(Costing[[#This Row],[Software Name]],Software[],2,0),0)</f>
        <v>15.91</v>
      </c>
      <c r="BR31" s="59"/>
      <c r="BS31" s="11"/>
      <c r="BT31" s="60" t="str">
        <f>IF(Costing[[#This Row],[Minutes/Activity]]&gt;0,Costing[[#This Row],[Minutes/Activity]]*Costing[[#This Row],[Onboarding Factor]],"")</f>
        <v/>
      </c>
      <c r="BU31" s="60">
        <f>IFERROR(Costing[[#This Row],[Onboarding Minutes]]/60,)</f>
        <v>0</v>
      </c>
      <c r="BV31" s="60">
        <f t="shared" si="0"/>
        <v>79.92</v>
      </c>
      <c r="BW31" s="61" t="str">
        <f>IFERROR(VLOOKUP(Costing[[#This Row],[Onboarding Team]],Staff_Info[],4,0),"")</f>
        <v/>
      </c>
      <c r="BX31" s="60">
        <f t="shared" si="1"/>
        <v>5.95</v>
      </c>
      <c r="BY31" s="55">
        <f>IFERROR(Costing[[#This Row],[Onboarding Hours]]/Costing[[#This Row],[Client Life Expectancy (Months)]]*Costing[[#This Row],[Onboarding Rate]],0)</f>
        <v>0</v>
      </c>
      <c r="BZ31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21.111111111111111</v>
      </c>
      <c r="CA31" s="27"/>
      <c r="CB31" s="63">
        <f>IFERROR((Costing[[#This Row],[Current Sales Price]]-Costing[[#This Row],[Total  Cost excl. Software]])/Costing[[#This Row],[Current Sales Price]],)</f>
        <v>0</v>
      </c>
      <c r="CC31" s="64">
        <f>Costing[[#This Row],[Total  Cost excl. Software]]/(1-$CC$1)</f>
        <v>60.317460317460323</v>
      </c>
    </row>
    <row r="32" spans="1:81" x14ac:dyDescent="0.2">
      <c r="A32" s="11" t="s">
        <v>275</v>
      </c>
      <c r="B32" s="48"/>
      <c r="C32" s="17"/>
      <c r="D32" s="17"/>
      <c r="E32" s="17"/>
      <c r="F32" s="21" t="str">
        <f>IFERROR(Costing[[#This Row],[Minutes/Pay Run]]*Costing[[#This Row],[Payroll Factor]]/60,"")</f>
        <v/>
      </c>
      <c r="G32" s="54" t="str">
        <f>IFERROR(VLOOKUP(Costing[[#This Row],[Payroll Team]],Staff_Info[],4,0),"")</f>
        <v/>
      </c>
      <c r="H32" s="21" t="str">
        <f>IFERROR(VLOOKUP(Costing[[#This Row],[Payroll Frequency]],Frequency[],2,0),"")</f>
        <v/>
      </c>
      <c r="I32" s="55">
        <f>IFERROR(Costing[[#This Row],[Payroll Hours/Month]]*Costing[[#This Row],[Payroll Rate]],0)</f>
        <v>0</v>
      </c>
      <c r="J32" s="54"/>
      <c r="K32" s="11"/>
      <c r="L32" s="11"/>
      <c r="M32" s="11"/>
      <c r="N32" s="22" t="str">
        <f>IFERROR(Costing[[#This Row],[Minutes/Super]]*Costing[[#This Row],[Super Factor]]/60,"")</f>
        <v/>
      </c>
      <c r="O32" s="23" t="str">
        <f>IFERROR(VLOOKUP(Costing[[#This Row],[Super Team]],Staff_Info[],4,0),"")</f>
        <v/>
      </c>
      <c r="P32" s="22" t="str">
        <f>IFERROR(VLOOKUP(Costing[[#This Row],[Super Frequency]],Frequency[],2,0),"")</f>
        <v/>
      </c>
      <c r="Q32" s="55">
        <f>IFERROR(Costing[[#This Row],[Super Hours/Month]]*Costing[[#This Row],[Super Rate]],0)</f>
        <v>0</v>
      </c>
      <c r="R32" s="11" t="s">
        <v>177</v>
      </c>
      <c r="S32" s="11" t="s">
        <v>115</v>
      </c>
      <c r="T32" s="11" t="s">
        <v>183</v>
      </c>
      <c r="U32" s="11">
        <v>286</v>
      </c>
      <c r="V32" s="22">
        <f>IFERROR(Costing[[#This Row],[Minutes/Activity]]*Costing[[#This Row],[Bookkeeping Factor]]/60,"")</f>
        <v>4.7666666666666666</v>
      </c>
      <c r="W32" s="23">
        <f>IFERROR(VLOOKUP(Costing[[#This Row],[Bookkeeping Team]],Staff_Info[],4,0),"")</f>
        <v>10</v>
      </c>
      <c r="X32" s="22">
        <f>IFERROR(VLOOKUP(Costing[[#This Row],[Bookkeeping Frequency]],Frequency[],2,0),"")</f>
        <v>1</v>
      </c>
      <c r="Y32" s="55">
        <f>IFERROR(Costing[[#This Row],[Bookkeeping Hours/Month]]*Costing[[#This Row],[Bookkeeping Rate]],0)</f>
        <v>47.666666666666664</v>
      </c>
      <c r="Z32" s="11" t="s">
        <v>178</v>
      </c>
      <c r="AA32" s="11" t="s">
        <v>126</v>
      </c>
      <c r="AB32" s="11" t="s">
        <v>183</v>
      </c>
      <c r="AC32" s="11">
        <v>20</v>
      </c>
      <c r="AD32" s="22">
        <f>IFERROR(Costing[[#This Row],[Minutes/Report]]*Costing[[#This Row],[Reporting Factor]]/60,"")</f>
        <v>0.33333333333333331</v>
      </c>
      <c r="AE32" s="23">
        <f>IFERROR(VLOOKUP(Costing[[#This Row],[Reporting Team]],Staff_Info[],4,0),"")</f>
        <v>50</v>
      </c>
      <c r="AF32" s="22">
        <f>IFERROR(VLOOKUP(Costing[[#This Row],[Reporting Frequency]],Frequency[],2,0),"")</f>
        <v>1</v>
      </c>
      <c r="AG32" s="55">
        <f>IFERROR(Costing[[#This Row],[Reporting Hours/Month]]*Costing[[#This Row],[Reporting Rate]],0)</f>
        <v>16.666666666666664</v>
      </c>
      <c r="AH32" s="11" t="s">
        <v>179</v>
      </c>
      <c r="AI32" s="11" t="s">
        <v>115</v>
      </c>
      <c r="AJ32" s="11" t="s">
        <v>157</v>
      </c>
      <c r="AK32" s="11">
        <v>60</v>
      </c>
      <c r="AL32" s="22">
        <f>IFERROR(Costing[[#This Row],[Minutes/BAS 1]]*Costing[[#This Row],[BAS 1 Factor]]/60,"")</f>
        <v>0.33333333333333331</v>
      </c>
      <c r="AM32" s="23">
        <f>IFERROR(VLOOKUP(Costing[[#This Row],[BAS 1 Team]],Staff_Info[],4,0),"")</f>
        <v>10</v>
      </c>
      <c r="AN32" s="22">
        <f>IFERROR(VLOOKUP(Costing[[#This Row],[BAS 1 Frequency]],Frequency[],2,0),"")</f>
        <v>0.33333333333333331</v>
      </c>
      <c r="AO32" s="55">
        <f>IFERROR(Costing[[#This Row],[BAS 1 Hours/Month]]*Costing[[#This Row],[BAS 1 Rate]],0)</f>
        <v>3.333333333333333</v>
      </c>
      <c r="AP32" s="11" t="s">
        <v>180</v>
      </c>
      <c r="AQ32" s="11" t="s">
        <v>117</v>
      </c>
      <c r="AR32" s="11" t="s">
        <v>157</v>
      </c>
      <c r="AS32" s="11">
        <v>15</v>
      </c>
      <c r="AT32" s="22">
        <f>IFERROR(Costing[[#This Row],[Minutes/BAS 2]]*Costing[[#This Row],[BAS 2 Factor]]/60,"")</f>
        <v>8.3333333333333329E-2</v>
      </c>
      <c r="AU32" s="23">
        <f>IFERROR(VLOOKUP(Costing[[#This Row],[BAS 2 Team]],Staff_Info[],4,0),"")</f>
        <v>30</v>
      </c>
      <c r="AV32" s="22">
        <f>IFERROR(VLOOKUP(Costing[[#This Row],[BAS 2 Frequency]],Frequency[],2,0),"")</f>
        <v>0.33333333333333331</v>
      </c>
      <c r="AW32" s="55">
        <f>IFERROR(Costing[[#This Row],[BAS 2 Hours/Month]]*Costing[[#This Row],[BAS 2 Rate]],0)</f>
        <v>2.5</v>
      </c>
      <c r="AX32" s="11"/>
      <c r="AY32" s="11"/>
      <c r="AZ32" s="11"/>
      <c r="BA32" s="11"/>
      <c r="BB32" s="22" t="str">
        <f>IFERROR(Costing[[#This Row],[Minutes/IAS]]*Costing[[#This Row],[IAS Factor]]/60,"")</f>
        <v/>
      </c>
      <c r="BC32" s="23" t="str">
        <f>IFERROR(VLOOKUP(Costing[[#This Row],[IAS Team]],Staff_Info[],4,0),"")</f>
        <v/>
      </c>
      <c r="BD32" s="22" t="str">
        <f>IFERROR(VLOOKUP(Costing[[#This Row],[IAS Frequency]],Frequency[],2,0),"")</f>
        <v/>
      </c>
      <c r="BE32" s="56">
        <f>IFERROR(Costing[[#This Row],[IAS Hours/Month]]*Costing[[#This Row],[IAS Rate]],0)</f>
        <v>0</v>
      </c>
      <c r="BF32" s="11" t="s">
        <v>182</v>
      </c>
      <c r="BG32" s="11" t="s">
        <v>126</v>
      </c>
      <c r="BH32" s="11">
        <v>120</v>
      </c>
      <c r="BI32" s="23">
        <f>IFERROR(VLOOKUP(Costing[[#This Row],[EOFY Team 1]],Staff_Info[],4,0),"")</f>
        <v>50</v>
      </c>
      <c r="BJ32" s="57">
        <f>Costing[[#This Row],[Time Min 1]]/12</f>
        <v>10</v>
      </c>
      <c r="BK32" s="11" t="s">
        <v>115</v>
      </c>
      <c r="BL32" s="11">
        <v>120</v>
      </c>
      <c r="BM32" s="23">
        <f>IFERROR(VLOOKUP(Costing[[#This Row],[EOFY Team 2]],Staff_Info[],4,0),"")</f>
        <v>10</v>
      </c>
      <c r="BN32" s="57">
        <f>Costing[[#This Row],[Time Min 2]]/12</f>
        <v>10</v>
      </c>
      <c r="BO32" s="55">
        <f>IFERROR((Costing[[#This Row],[EOFY 1 Min/Month]]/60*Costing[[#This Row],[EOFY Team 1 Rate]])+(Costing[[#This Row],[EOFY 2 Min/Month]]/60*Costing[[#This Row],[EOFY Team 2 Rate]]),0)</f>
        <v>9.9999999999999982</v>
      </c>
      <c r="BP32" s="11" t="s">
        <v>174</v>
      </c>
      <c r="BQ32" s="55">
        <f>IFERROR(VLOOKUP(Costing[[#This Row],[Software Name]],Software[],2,0),0)</f>
        <v>0</v>
      </c>
      <c r="BR32" s="59" t="s">
        <v>294</v>
      </c>
      <c r="BS32" s="11" t="s">
        <v>126</v>
      </c>
      <c r="BT32" s="60">
        <f>IF(Costing[[#This Row],[Minutes/Activity]]&gt;0,Costing[[#This Row],[Minutes/Activity]]*Costing[[#This Row],[Onboarding Factor]],"")</f>
        <v>1701.7</v>
      </c>
      <c r="BU32" s="60">
        <f>IFERROR(Costing[[#This Row],[Onboarding Minutes]]/60,)</f>
        <v>28.361666666666668</v>
      </c>
      <c r="BV32" s="60">
        <f t="shared" si="0"/>
        <v>79.92</v>
      </c>
      <c r="BW32" s="61">
        <f>IFERROR(VLOOKUP(Costing[[#This Row],[Onboarding Team]],Staff_Info[],4,0),"")</f>
        <v>50</v>
      </c>
      <c r="BX32" s="60">
        <f t="shared" si="1"/>
        <v>5.95</v>
      </c>
      <c r="BY32" s="55">
        <f>IFERROR(Costing[[#This Row],[Onboarding Hours]]/Costing[[#This Row],[Client Life Expectancy (Months)]]*Costing[[#This Row],[Onboarding Rate]],0)</f>
        <v>17.743785452118786</v>
      </c>
      <c r="BZ32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97.910452118785443</v>
      </c>
      <c r="CA32" s="27">
        <v>202</v>
      </c>
      <c r="CB32" s="63">
        <f>IFERROR((Costing[[#This Row],[Current Sales Price]]-Costing[[#This Row],[Total  Cost excl. Software]])/Costing[[#This Row],[Current Sales Price]],)</f>
        <v>0.5152947914911612</v>
      </c>
      <c r="CC32" s="64">
        <f>Costing[[#This Row],[Total  Cost excl. Software]]/(1-$CC$1)</f>
        <v>279.74414891081557</v>
      </c>
    </row>
    <row r="33" spans="1:81" x14ac:dyDescent="0.2">
      <c r="A33" s="11" t="s">
        <v>32</v>
      </c>
      <c r="B33" s="48" t="s">
        <v>145</v>
      </c>
      <c r="C33" s="17" t="s">
        <v>116</v>
      </c>
      <c r="D33" s="17" t="s">
        <v>155</v>
      </c>
      <c r="E33" s="17">
        <v>15</v>
      </c>
      <c r="F33" s="21">
        <f>IFERROR(Costing[[#This Row],[Minutes/Pay Run]]*Costing[[#This Row],[Payroll Factor]]/60,"")</f>
        <v>0.54166666666666663</v>
      </c>
      <c r="G33" s="54">
        <f>IFERROR(VLOOKUP(Costing[[#This Row],[Payroll Team]],Staff_Info[],4,0),"")</f>
        <v>10</v>
      </c>
      <c r="H33" s="21">
        <f>IFERROR(VLOOKUP(Costing[[#This Row],[Payroll Frequency]],Frequency[],2,0),"")</f>
        <v>2.1666666666666665</v>
      </c>
      <c r="I33" s="55">
        <f>IFERROR(Costing[[#This Row],[Payroll Hours/Month]]*Costing[[#This Row],[Payroll Rate]],0)</f>
        <v>5.4166666666666661</v>
      </c>
      <c r="J33" s="54" t="s">
        <v>176</v>
      </c>
      <c r="K33" s="11" t="s">
        <v>116</v>
      </c>
      <c r="L33" s="11" t="s">
        <v>157</v>
      </c>
      <c r="M33" s="11">
        <v>15</v>
      </c>
      <c r="N33" s="22">
        <f>IFERROR(Costing[[#This Row],[Minutes/Super]]*Costing[[#This Row],[Super Factor]]/60,"")</f>
        <v>8.3333333333333329E-2</v>
      </c>
      <c r="O33" s="23">
        <f>IFERROR(VLOOKUP(Costing[[#This Row],[Super Team]],Staff_Info[],4,0),"")</f>
        <v>10</v>
      </c>
      <c r="P33" s="22">
        <f>IFERROR(VLOOKUP(Costing[[#This Row],[Super Frequency]],Frequency[],2,0),"")</f>
        <v>0.33333333333333331</v>
      </c>
      <c r="Q33" s="55">
        <f>IFERROR(Costing[[#This Row],[Super Hours/Month]]*Costing[[#This Row],[Super Rate]],0)</f>
        <v>0.83333333333333326</v>
      </c>
      <c r="R33" s="11" t="s">
        <v>177</v>
      </c>
      <c r="S33" s="11" t="s">
        <v>116</v>
      </c>
      <c r="T33" s="11" t="s">
        <v>183</v>
      </c>
      <c r="U33" s="11">
        <v>240</v>
      </c>
      <c r="V33" s="22">
        <f>IFERROR(Costing[[#This Row],[Minutes/Activity]]*Costing[[#This Row],[Bookkeeping Factor]]/60,"")</f>
        <v>4</v>
      </c>
      <c r="W33" s="23">
        <f>IFERROR(VLOOKUP(Costing[[#This Row],[Bookkeeping Team]],Staff_Info[],4,0),"")</f>
        <v>10</v>
      </c>
      <c r="X33" s="22">
        <f>IFERROR(VLOOKUP(Costing[[#This Row],[Bookkeeping Frequency]],Frequency[],2,0),"")</f>
        <v>1</v>
      </c>
      <c r="Y33" s="55">
        <f>IFERROR(Costing[[#This Row],[Bookkeeping Hours/Month]]*Costing[[#This Row],[Bookkeeping Rate]],0)</f>
        <v>40</v>
      </c>
      <c r="Z33" s="11" t="s">
        <v>178</v>
      </c>
      <c r="AA33" s="11" t="s">
        <v>126</v>
      </c>
      <c r="AB33" s="11" t="s">
        <v>183</v>
      </c>
      <c r="AC33" s="11">
        <v>20</v>
      </c>
      <c r="AD33" s="22">
        <f>IFERROR(Costing[[#This Row],[Minutes/Report]]*Costing[[#This Row],[Reporting Factor]]/60,"")</f>
        <v>0.33333333333333331</v>
      </c>
      <c r="AE33" s="23">
        <f>IFERROR(VLOOKUP(Costing[[#This Row],[Reporting Team]],Staff_Info[],4,0),"")</f>
        <v>50</v>
      </c>
      <c r="AF33" s="22">
        <f>IFERROR(VLOOKUP(Costing[[#This Row],[Reporting Frequency]],Frequency[],2,0),"")</f>
        <v>1</v>
      </c>
      <c r="AG33" s="55">
        <f>IFERROR(Costing[[#This Row],[Reporting Hours/Month]]*Costing[[#This Row],[Reporting Rate]],0)</f>
        <v>16.666666666666664</v>
      </c>
      <c r="AH33" s="11" t="s">
        <v>179</v>
      </c>
      <c r="AI33" s="11" t="s">
        <v>116</v>
      </c>
      <c r="AJ33" s="11" t="s">
        <v>157</v>
      </c>
      <c r="AK33" s="11">
        <v>60</v>
      </c>
      <c r="AL33" s="22">
        <f>IFERROR(Costing[[#This Row],[Minutes/BAS 1]]*Costing[[#This Row],[BAS 1 Factor]]/60,"")</f>
        <v>0.33333333333333331</v>
      </c>
      <c r="AM33" s="23">
        <f>IFERROR(VLOOKUP(Costing[[#This Row],[BAS 1 Team]],Staff_Info[],4,0),"")</f>
        <v>10</v>
      </c>
      <c r="AN33" s="22">
        <f>IFERROR(VLOOKUP(Costing[[#This Row],[BAS 1 Frequency]],Frequency[],2,0),"")</f>
        <v>0.33333333333333331</v>
      </c>
      <c r="AO33" s="55">
        <f>IFERROR(Costing[[#This Row],[BAS 1 Hours/Month]]*Costing[[#This Row],[BAS 1 Rate]],0)</f>
        <v>3.333333333333333</v>
      </c>
      <c r="AP33" s="11" t="s">
        <v>180</v>
      </c>
      <c r="AQ33" s="11" t="s">
        <v>117</v>
      </c>
      <c r="AR33" s="11" t="s">
        <v>157</v>
      </c>
      <c r="AS33" s="11">
        <v>15</v>
      </c>
      <c r="AT33" s="22">
        <f>IFERROR(Costing[[#This Row],[Minutes/BAS 2]]*Costing[[#This Row],[BAS 2 Factor]]/60,"")</f>
        <v>8.3333333333333329E-2</v>
      </c>
      <c r="AU33" s="23">
        <f>IFERROR(VLOOKUP(Costing[[#This Row],[BAS 2 Team]],Staff_Info[],4,0),"")</f>
        <v>30</v>
      </c>
      <c r="AV33" s="22">
        <f>IFERROR(VLOOKUP(Costing[[#This Row],[BAS 2 Frequency]],Frequency[],2,0),"")</f>
        <v>0.33333333333333331</v>
      </c>
      <c r="AW33" s="55">
        <f>IFERROR(Costing[[#This Row],[BAS 2 Hours/Month]]*Costing[[#This Row],[BAS 2 Rate]],0)</f>
        <v>2.5</v>
      </c>
      <c r="AX33" s="11"/>
      <c r="AY33" s="11"/>
      <c r="AZ33" s="11"/>
      <c r="BA33" s="11"/>
      <c r="BB33" s="22" t="str">
        <f>IFERROR(Costing[[#This Row],[Minutes/IAS]]*Costing[[#This Row],[IAS Factor]]/60,"")</f>
        <v/>
      </c>
      <c r="BC33" s="23" t="str">
        <f>IFERROR(VLOOKUP(Costing[[#This Row],[IAS Team]],Staff_Info[],4,0),"")</f>
        <v/>
      </c>
      <c r="BD33" s="22" t="str">
        <f>IFERROR(VLOOKUP(Costing[[#This Row],[IAS Frequency]],Frequency[],2,0),"")</f>
        <v/>
      </c>
      <c r="BE33" s="56">
        <f>IFERROR(Costing[[#This Row],[IAS Hours/Month]]*Costing[[#This Row],[IAS Rate]],0)</f>
        <v>0</v>
      </c>
      <c r="BF33" s="11" t="s">
        <v>182</v>
      </c>
      <c r="BG33" s="11" t="s">
        <v>126</v>
      </c>
      <c r="BH33" s="11">
        <v>120</v>
      </c>
      <c r="BI33" s="23">
        <f>IFERROR(VLOOKUP(Costing[[#This Row],[EOFY Team 1]],Staff_Info[],4,0),"")</f>
        <v>50</v>
      </c>
      <c r="BJ33" s="57">
        <f>Costing[[#This Row],[Time Min 1]]/12</f>
        <v>10</v>
      </c>
      <c r="BK33" s="11" t="s">
        <v>116</v>
      </c>
      <c r="BL33" s="11">
        <v>120</v>
      </c>
      <c r="BM33" s="23">
        <f>IFERROR(VLOOKUP(Costing[[#This Row],[EOFY Team 2]],Staff_Info[],4,0),"")</f>
        <v>10</v>
      </c>
      <c r="BN33" s="57">
        <f>Costing[[#This Row],[Time Min 2]]/12</f>
        <v>10</v>
      </c>
      <c r="BO33" s="55">
        <f>IFERROR((Costing[[#This Row],[EOFY 1 Min/Month]]/60*Costing[[#This Row],[EOFY Team 1 Rate]])+(Costing[[#This Row],[EOFY 2 Min/Month]]/60*Costing[[#This Row],[EOFY Team 2 Rate]]),0)</f>
        <v>9.9999999999999982</v>
      </c>
      <c r="BP33" s="11" t="s">
        <v>169</v>
      </c>
      <c r="BQ33" s="55">
        <f>IFERROR(VLOOKUP(Costing[[#This Row],[Software Name]],Software[],2,0),0)</f>
        <v>15.91</v>
      </c>
      <c r="BR33" s="59" t="s">
        <v>294</v>
      </c>
      <c r="BS33" s="11" t="s">
        <v>126</v>
      </c>
      <c r="BT33" s="60">
        <f>IF(Costing[[#This Row],[Minutes/Activity]]&gt;0,Costing[[#This Row],[Minutes/Activity]]*Costing[[#This Row],[Onboarding Factor]],"")</f>
        <v>1428</v>
      </c>
      <c r="BU33" s="60">
        <f>IFERROR(Costing[[#This Row],[Onboarding Minutes]]/60,)</f>
        <v>23.8</v>
      </c>
      <c r="BV33" s="60">
        <f t="shared" si="0"/>
        <v>79.92</v>
      </c>
      <c r="BW33" s="61">
        <f>IFERROR(VLOOKUP(Costing[[#This Row],[Onboarding Team]],Staff_Info[],4,0),"")</f>
        <v>50</v>
      </c>
      <c r="BX33" s="60">
        <f t="shared" si="1"/>
        <v>5.95</v>
      </c>
      <c r="BY33" s="55">
        <f>IFERROR(Costing[[#This Row],[Onboarding Hours]]/Costing[[#This Row],[Client Life Expectancy (Months)]]*Costing[[#This Row],[Onboarding Rate]],0)</f>
        <v>14.88988988988989</v>
      </c>
      <c r="BZ33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93.639889889889886</v>
      </c>
      <c r="CA33" s="27">
        <v>161.72999999999999</v>
      </c>
      <c r="CB33" s="63">
        <f>IFERROR((Costing[[#This Row],[Current Sales Price]]-Costing[[#This Row],[Total  Cost excl. Software]])/Costing[[#This Row],[Current Sales Price]],)</f>
        <v>0.42101100667847713</v>
      </c>
      <c r="CC33" s="64">
        <f>Costing[[#This Row],[Total  Cost excl. Software]]/(1-$CC$1)</f>
        <v>267.54254254254255</v>
      </c>
    </row>
    <row r="34" spans="1:81" x14ac:dyDescent="0.2">
      <c r="A34" s="11" t="s">
        <v>33</v>
      </c>
      <c r="B34" s="48"/>
      <c r="C34" s="17"/>
      <c r="D34" s="17"/>
      <c r="E34" s="17"/>
      <c r="F34" s="21" t="str">
        <f>IFERROR(Costing[[#This Row],[Minutes/Pay Run]]*Costing[[#This Row],[Payroll Factor]]/60,"")</f>
        <v/>
      </c>
      <c r="G34" s="54" t="str">
        <f>IFERROR(VLOOKUP(Costing[[#This Row],[Payroll Team]],Staff_Info[],4,0),"")</f>
        <v/>
      </c>
      <c r="H34" s="21" t="str">
        <f>IFERROR(VLOOKUP(Costing[[#This Row],[Payroll Frequency]],Frequency[],2,0),"")</f>
        <v/>
      </c>
      <c r="I34" s="55">
        <f>IFERROR(Costing[[#This Row],[Payroll Hours/Month]]*Costing[[#This Row],[Payroll Rate]],0)</f>
        <v>0</v>
      </c>
      <c r="J34" s="54"/>
      <c r="K34" s="11"/>
      <c r="L34" s="11"/>
      <c r="M34" s="11"/>
      <c r="N34" s="22" t="str">
        <f>IFERROR(Costing[[#This Row],[Minutes/Super]]*Costing[[#This Row],[Super Factor]]/60,"")</f>
        <v/>
      </c>
      <c r="O34" s="23" t="str">
        <f>IFERROR(VLOOKUP(Costing[[#This Row],[Super Team]],Staff_Info[],4,0),"")</f>
        <v/>
      </c>
      <c r="P34" s="22" t="str">
        <f>IFERROR(VLOOKUP(Costing[[#This Row],[Super Frequency]],Frequency[],2,0),"")</f>
        <v/>
      </c>
      <c r="Q34" s="55">
        <f>IFERROR(Costing[[#This Row],[Super Hours/Month]]*Costing[[#This Row],[Super Rate]],0)</f>
        <v>0</v>
      </c>
      <c r="R34" s="11" t="s">
        <v>177</v>
      </c>
      <c r="S34" s="11" t="s">
        <v>118</v>
      </c>
      <c r="T34" s="11" t="s">
        <v>183</v>
      </c>
      <c r="U34" s="11">
        <v>45</v>
      </c>
      <c r="V34" s="22">
        <f>IFERROR(Costing[[#This Row],[Minutes/Activity]]*Costing[[#This Row],[Bookkeeping Factor]]/60,"")</f>
        <v>0.75</v>
      </c>
      <c r="W34" s="23">
        <f>IFERROR(VLOOKUP(Costing[[#This Row],[Bookkeeping Team]],Staff_Info[],4,0),"")</f>
        <v>10</v>
      </c>
      <c r="X34" s="22">
        <f>IFERROR(VLOOKUP(Costing[[#This Row],[Bookkeeping Frequency]],Frequency[],2,0),"")</f>
        <v>1</v>
      </c>
      <c r="Y34" s="55">
        <f>IFERROR(Costing[[#This Row],[Bookkeeping Hours/Month]]*Costing[[#This Row],[Bookkeeping Rate]],0)</f>
        <v>7.5</v>
      </c>
      <c r="Z34" s="11"/>
      <c r="AA34" s="11"/>
      <c r="AB34" s="11"/>
      <c r="AC34" s="11"/>
      <c r="AD34" s="22" t="str">
        <f>IFERROR(Costing[[#This Row],[Minutes/Report]]*Costing[[#This Row],[Reporting Factor]]/60,"")</f>
        <v/>
      </c>
      <c r="AE34" s="23" t="str">
        <f>IFERROR(VLOOKUP(Costing[[#This Row],[Reporting Team]],Staff_Info[],4,0),"")</f>
        <v/>
      </c>
      <c r="AF34" s="22" t="str">
        <f>IFERROR(VLOOKUP(Costing[[#This Row],[Reporting Frequency]],Frequency[],2,0),"")</f>
        <v/>
      </c>
      <c r="AG34" s="55">
        <f>IFERROR(Costing[[#This Row],[Reporting Hours/Month]]*Costing[[#This Row],[Reporting Rate]],0)</f>
        <v>0</v>
      </c>
      <c r="AH34" s="11"/>
      <c r="AI34" s="11"/>
      <c r="AJ34" s="11"/>
      <c r="AK34" s="11"/>
      <c r="AL34" s="22" t="str">
        <f>IFERROR(Costing[[#This Row],[Minutes/BAS 1]]*Costing[[#This Row],[BAS 1 Factor]]/60,"")</f>
        <v/>
      </c>
      <c r="AM34" s="23" t="str">
        <f>IFERROR(VLOOKUP(Costing[[#This Row],[BAS 1 Team]],Staff_Info[],4,0),"")</f>
        <v/>
      </c>
      <c r="AN34" s="22" t="str">
        <f>IFERROR(VLOOKUP(Costing[[#This Row],[BAS 1 Frequency]],Frequency[],2,0),"")</f>
        <v/>
      </c>
      <c r="AO34" s="55">
        <f>IFERROR(Costing[[#This Row],[BAS 1 Hours/Month]]*Costing[[#This Row],[BAS 1 Rate]],0)</f>
        <v>0</v>
      </c>
      <c r="AP34" s="11"/>
      <c r="AQ34" s="11"/>
      <c r="AR34" s="11"/>
      <c r="AS34" s="11"/>
      <c r="AT34" s="22" t="str">
        <f>IFERROR(Costing[[#This Row],[Minutes/BAS 2]]*Costing[[#This Row],[BAS 2 Factor]]/60,"")</f>
        <v/>
      </c>
      <c r="AU34" s="23" t="str">
        <f>IFERROR(VLOOKUP(Costing[[#This Row],[BAS 2 Team]],Staff_Info[],4,0),"")</f>
        <v/>
      </c>
      <c r="AV34" s="22" t="str">
        <f>IFERROR(VLOOKUP(Costing[[#This Row],[BAS 2 Frequency]],Frequency[],2,0),"")</f>
        <v/>
      </c>
      <c r="AW34" s="55">
        <f>IFERROR(Costing[[#This Row],[BAS 2 Hours/Month]]*Costing[[#This Row],[BAS 2 Rate]],0)</f>
        <v>0</v>
      </c>
      <c r="AX34" s="11"/>
      <c r="AY34" s="11"/>
      <c r="AZ34" s="11"/>
      <c r="BA34" s="11"/>
      <c r="BB34" s="22" t="str">
        <f>IFERROR(Costing[[#This Row],[Minutes/IAS]]*Costing[[#This Row],[IAS Factor]]/60,"")</f>
        <v/>
      </c>
      <c r="BC34" s="23" t="str">
        <f>IFERROR(VLOOKUP(Costing[[#This Row],[IAS Team]],Staff_Info[],4,0),"")</f>
        <v/>
      </c>
      <c r="BD34" s="22" t="str">
        <f>IFERROR(VLOOKUP(Costing[[#This Row],[IAS Frequency]],Frequency[],2,0),"")</f>
        <v/>
      </c>
      <c r="BE34" s="56">
        <f>IFERROR(Costing[[#This Row],[IAS Hours/Month]]*Costing[[#This Row],[IAS Rate]],0)</f>
        <v>0</v>
      </c>
      <c r="BF34" s="11"/>
      <c r="BG34" s="11"/>
      <c r="BH34" s="11"/>
      <c r="BI34" s="23" t="str">
        <f>IFERROR(VLOOKUP(Costing[[#This Row],[EOFY Team 1]],Staff_Info[],4,0),"")</f>
        <v/>
      </c>
      <c r="BJ34" s="57">
        <f>Costing[[#This Row],[Time Min 1]]/12</f>
        <v>0</v>
      </c>
      <c r="BK34" s="11"/>
      <c r="BL34" s="11"/>
      <c r="BM34" s="23" t="str">
        <f>IFERROR(VLOOKUP(Costing[[#This Row],[EOFY Team 2]],Staff_Info[],4,0),"")</f>
        <v/>
      </c>
      <c r="BN34" s="57">
        <f>Costing[[#This Row],[Time Min 2]]/12</f>
        <v>0</v>
      </c>
      <c r="BO34" s="55">
        <f>IFERROR((Costing[[#This Row],[EOFY 1 Min/Month]]/60*Costing[[#This Row],[EOFY Team 1 Rate]])+(Costing[[#This Row],[EOFY 2 Min/Month]]/60*Costing[[#This Row],[EOFY Team 2 Rate]]),0)</f>
        <v>0</v>
      </c>
      <c r="BP34" s="11" t="s">
        <v>168</v>
      </c>
      <c r="BQ34" s="55">
        <f>IFERROR(VLOOKUP(Costing[[#This Row],[Software Name]],Software[],2,0),0)</f>
        <v>9.09</v>
      </c>
      <c r="BR34" s="59" t="s">
        <v>294</v>
      </c>
      <c r="BS34" s="11" t="s">
        <v>119</v>
      </c>
      <c r="BT34" s="60">
        <f>IF(Costing[[#This Row],[Minutes/Activity]]&gt;0,Costing[[#This Row],[Minutes/Activity]]*Costing[[#This Row],[Onboarding Factor]],"")</f>
        <v>267.75</v>
      </c>
      <c r="BU34" s="60">
        <f>IFERROR(Costing[[#This Row],[Onboarding Minutes]]/60,)</f>
        <v>4.4625000000000004</v>
      </c>
      <c r="BV34" s="60">
        <f t="shared" si="0"/>
        <v>79.92</v>
      </c>
      <c r="BW34" s="61">
        <f>IFERROR(VLOOKUP(Costing[[#This Row],[Onboarding Team]],Staff_Info[],4,0),"")</f>
        <v>50</v>
      </c>
      <c r="BX34" s="60">
        <f t="shared" si="1"/>
        <v>5.95</v>
      </c>
      <c r="BY34" s="55">
        <f>IFERROR(Costing[[#This Row],[Onboarding Hours]]/Costing[[#This Row],[Client Life Expectancy (Months)]]*Costing[[#This Row],[Onboarding Rate]],0)</f>
        <v>2.7918543543543546</v>
      </c>
      <c r="BZ34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10.291854354354355</v>
      </c>
      <c r="CA34" s="27">
        <v>20</v>
      </c>
      <c r="CB34" s="63">
        <f>IFERROR((Costing[[#This Row],[Current Sales Price]]-Costing[[#This Row],[Total  Cost excl. Software]])/Costing[[#This Row],[Current Sales Price]],)</f>
        <v>0.48540728228228225</v>
      </c>
      <c r="CC34" s="64">
        <f>Costing[[#This Row],[Total  Cost excl. Software]]/(1-$CC$1)</f>
        <v>29.405298155298158</v>
      </c>
    </row>
    <row r="35" spans="1:81" x14ac:dyDescent="0.2">
      <c r="A35" s="11" t="s">
        <v>56</v>
      </c>
      <c r="B35" s="48"/>
      <c r="C35" s="17"/>
      <c r="D35" s="17"/>
      <c r="E35" s="17"/>
      <c r="F35" s="21" t="str">
        <f>IFERROR(Costing[[#This Row],[Minutes/Pay Run]]*Costing[[#This Row],[Payroll Factor]]/60,"")</f>
        <v/>
      </c>
      <c r="G35" s="54" t="str">
        <f>IFERROR(VLOOKUP(Costing[[#This Row],[Payroll Team]],Staff_Info[],4,0),"")</f>
        <v/>
      </c>
      <c r="H35" s="21" t="str">
        <f>IFERROR(VLOOKUP(Costing[[#This Row],[Payroll Frequency]],Frequency[],2,0),"")</f>
        <v/>
      </c>
      <c r="I35" s="55">
        <f>IFERROR(Costing[[#This Row],[Payroll Hours/Month]]*Costing[[#This Row],[Payroll Rate]],0)</f>
        <v>0</v>
      </c>
      <c r="J35" s="54"/>
      <c r="K35" s="11"/>
      <c r="L35" s="11"/>
      <c r="M35" s="11"/>
      <c r="N35" s="22" t="str">
        <f>IFERROR(Costing[[#This Row],[Minutes/Super]]*Costing[[#This Row],[Super Factor]]/60,"")</f>
        <v/>
      </c>
      <c r="O35" s="23" t="str">
        <f>IFERROR(VLOOKUP(Costing[[#This Row],[Super Team]],Staff_Info[],4,0),"")</f>
        <v/>
      </c>
      <c r="P35" s="22" t="str">
        <f>IFERROR(VLOOKUP(Costing[[#This Row],[Super Frequency]],Frequency[],2,0),"")</f>
        <v/>
      </c>
      <c r="Q35" s="55">
        <f>IFERROR(Costing[[#This Row],[Super Hours/Month]]*Costing[[#This Row],[Super Rate]],0)</f>
        <v>0</v>
      </c>
      <c r="R35" s="11" t="s">
        <v>177</v>
      </c>
      <c r="S35" s="11" t="s">
        <v>118</v>
      </c>
      <c r="T35" s="11" t="s">
        <v>157</v>
      </c>
      <c r="U35" s="11">
        <v>120</v>
      </c>
      <c r="V35" s="22">
        <f>IFERROR(Costing[[#This Row],[Minutes/Activity]]*Costing[[#This Row],[Bookkeeping Factor]]/60,"")</f>
        <v>0.66666666666666663</v>
      </c>
      <c r="W35" s="23">
        <f>IFERROR(VLOOKUP(Costing[[#This Row],[Bookkeeping Team]],Staff_Info[],4,0),"")</f>
        <v>10</v>
      </c>
      <c r="X35" s="22">
        <f>IFERROR(VLOOKUP(Costing[[#This Row],[Bookkeeping Frequency]],Frequency[],2,0),"")</f>
        <v>0.33333333333333331</v>
      </c>
      <c r="Y35" s="55">
        <f>IFERROR(Costing[[#This Row],[Bookkeeping Hours/Month]]*Costing[[#This Row],[Bookkeeping Rate]],0)</f>
        <v>6.6666666666666661</v>
      </c>
      <c r="Z35" s="11" t="s">
        <v>178</v>
      </c>
      <c r="AA35" s="11" t="s">
        <v>119</v>
      </c>
      <c r="AB35" s="11" t="s">
        <v>157</v>
      </c>
      <c r="AC35" s="11">
        <v>30</v>
      </c>
      <c r="AD35" s="22">
        <f>IFERROR(Costing[[#This Row],[Minutes/Report]]*Costing[[#This Row],[Reporting Factor]]/60,"")</f>
        <v>0.16666666666666666</v>
      </c>
      <c r="AE35" s="23">
        <f>IFERROR(VLOOKUP(Costing[[#This Row],[Reporting Team]],Staff_Info[],4,0),"")</f>
        <v>50</v>
      </c>
      <c r="AF35" s="22">
        <f>IFERROR(VLOOKUP(Costing[[#This Row],[Reporting Frequency]],Frequency[],2,0),"")</f>
        <v>0.33333333333333331</v>
      </c>
      <c r="AG35" s="55">
        <f>IFERROR(Costing[[#This Row],[Reporting Hours/Month]]*Costing[[#This Row],[Reporting Rate]],0)</f>
        <v>8.3333333333333321</v>
      </c>
      <c r="AH35" s="11"/>
      <c r="AI35" s="11"/>
      <c r="AJ35" s="11"/>
      <c r="AK35" s="11"/>
      <c r="AL35" s="22" t="str">
        <f>IFERROR(Costing[[#This Row],[Minutes/BAS 1]]*Costing[[#This Row],[BAS 1 Factor]]/60,"")</f>
        <v/>
      </c>
      <c r="AM35" s="23" t="str">
        <f>IFERROR(VLOOKUP(Costing[[#This Row],[BAS 1 Team]],Staff_Info[],4,0),"")</f>
        <v/>
      </c>
      <c r="AN35" s="22" t="str">
        <f>IFERROR(VLOOKUP(Costing[[#This Row],[BAS 1 Frequency]],Frequency[],2,0),"")</f>
        <v/>
      </c>
      <c r="AO35" s="55">
        <f>IFERROR(Costing[[#This Row],[BAS 1 Hours/Month]]*Costing[[#This Row],[BAS 1 Rate]],0)</f>
        <v>0</v>
      </c>
      <c r="AP35" s="11"/>
      <c r="AQ35" s="11"/>
      <c r="AR35" s="11"/>
      <c r="AS35" s="11"/>
      <c r="AT35" s="22" t="str">
        <f>IFERROR(Costing[[#This Row],[Minutes/BAS 2]]*Costing[[#This Row],[BAS 2 Factor]]/60,"")</f>
        <v/>
      </c>
      <c r="AU35" s="23" t="str">
        <f>IFERROR(VLOOKUP(Costing[[#This Row],[BAS 2 Team]],Staff_Info[],4,0),"")</f>
        <v/>
      </c>
      <c r="AV35" s="22" t="str">
        <f>IFERROR(VLOOKUP(Costing[[#This Row],[BAS 2 Frequency]],Frequency[],2,0),"")</f>
        <v/>
      </c>
      <c r="AW35" s="55">
        <f>IFERROR(Costing[[#This Row],[BAS 2 Hours/Month]]*Costing[[#This Row],[BAS 2 Rate]],0)</f>
        <v>0</v>
      </c>
      <c r="AX35" s="11"/>
      <c r="AY35" s="11"/>
      <c r="AZ35" s="11"/>
      <c r="BA35" s="11"/>
      <c r="BB35" s="22" t="str">
        <f>IFERROR(Costing[[#This Row],[Minutes/IAS]]*Costing[[#This Row],[IAS Factor]]/60,"")</f>
        <v/>
      </c>
      <c r="BC35" s="23" t="str">
        <f>IFERROR(VLOOKUP(Costing[[#This Row],[IAS Team]],Staff_Info[],4,0),"")</f>
        <v/>
      </c>
      <c r="BD35" s="22" t="str">
        <f>IFERROR(VLOOKUP(Costing[[#This Row],[IAS Frequency]],Frequency[],2,0),"")</f>
        <v/>
      </c>
      <c r="BE35" s="56">
        <f>IFERROR(Costing[[#This Row],[IAS Hours/Month]]*Costing[[#This Row],[IAS Rate]],0)</f>
        <v>0</v>
      </c>
      <c r="BF35" s="11" t="s">
        <v>182</v>
      </c>
      <c r="BG35" s="11" t="s">
        <v>118</v>
      </c>
      <c r="BH35" s="11">
        <v>60</v>
      </c>
      <c r="BI35" s="23">
        <f>IFERROR(VLOOKUP(Costing[[#This Row],[EOFY Team 1]],Staff_Info[],4,0),"")</f>
        <v>10</v>
      </c>
      <c r="BJ35" s="57">
        <f>Costing[[#This Row],[Time Min 1]]/12</f>
        <v>5</v>
      </c>
      <c r="BK35" s="11" t="s">
        <v>119</v>
      </c>
      <c r="BL35" s="11">
        <v>120</v>
      </c>
      <c r="BM35" s="23">
        <f>IFERROR(VLOOKUP(Costing[[#This Row],[EOFY Team 2]],Staff_Info[],4,0),"")</f>
        <v>50</v>
      </c>
      <c r="BN35" s="57">
        <f>Costing[[#This Row],[Time Min 2]]/12</f>
        <v>10</v>
      </c>
      <c r="BO35" s="55">
        <f>IFERROR((Costing[[#This Row],[EOFY 1 Min/Month]]/60*Costing[[#This Row],[EOFY Team 1 Rate]])+(Costing[[#This Row],[EOFY 2 Min/Month]]/60*Costing[[#This Row],[EOFY Team 2 Rate]]),0)</f>
        <v>9.1666666666666661</v>
      </c>
      <c r="BP35" s="11" t="s">
        <v>161</v>
      </c>
      <c r="BQ35" s="55">
        <f>IFERROR(VLOOKUP(Costing[[#This Row],[Software Name]],Software[],2,0),0)</f>
        <v>17.27</v>
      </c>
      <c r="BR35" s="59" t="s">
        <v>294</v>
      </c>
      <c r="BS35" s="11" t="s">
        <v>119</v>
      </c>
      <c r="BT35" s="60">
        <f>IF(Costing[[#This Row],[Minutes/Activity]]&gt;0,Costing[[#This Row],[Minutes/Activity]]*Costing[[#This Row],[Onboarding Factor]],"")</f>
        <v>714</v>
      </c>
      <c r="BU35" s="60">
        <f>IFERROR(Costing[[#This Row],[Onboarding Minutes]]/60,)</f>
        <v>11.9</v>
      </c>
      <c r="BV35" s="60">
        <f t="shared" ref="BV35:BV66" si="2">6.66*12</f>
        <v>79.92</v>
      </c>
      <c r="BW35" s="61">
        <f>IFERROR(VLOOKUP(Costing[[#This Row],[Onboarding Team]],Staff_Info[],4,0),"")</f>
        <v>50</v>
      </c>
      <c r="BX35" s="60">
        <f t="shared" ref="BX35:BX66" si="3">$BX$1</f>
        <v>5.95</v>
      </c>
      <c r="BY35" s="55">
        <f>IFERROR(Costing[[#This Row],[Onboarding Hours]]/Costing[[#This Row],[Client Life Expectancy (Months)]]*Costing[[#This Row],[Onboarding Rate]],0)</f>
        <v>7.444944944944945</v>
      </c>
      <c r="BZ35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31.611611611611607</v>
      </c>
      <c r="CA35" s="27">
        <v>60</v>
      </c>
      <c r="CB35" s="63">
        <f>IFERROR((Costing[[#This Row],[Current Sales Price]]-Costing[[#This Row],[Total  Cost excl. Software]])/Costing[[#This Row],[Current Sales Price]],)</f>
        <v>0.47313980647313986</v>
      </c>
      <c r="CC35" s="64">
        <f>Costing[[#This Row],[Total  Cost excl. Software]]/(1-$CC$1)</f>
        <v>90.318890318890311</v>
      </c>
    </row>
    <row r="36" spans="1:81" x14ac:dyDescent="0.2">
      <c r="A36" s="11" t="s">
        <v>34</v>
      </c>
      <c r="B36" s="48" t="s">
        <v>145</v>
      </c>
      <c r="C36" s="17" t="s">
        <v>115</v>
      </c>
      <c r="D36" s="17" t="s">
        <v>154</v>
      </c>
      <c r="E36" s="17">
        <v>90</v>
      </c>
      <c r="F36" s="21">
        <f>IFERROR(Costing[[#This Row],[Minutes/Pay Run]]*Costing[[#This Row],[Payroll Factor]]/60,"")</f>
        <v>6.5</v>
      </c>
      <c r="G36" s="54">
        <f>IFERROR(VLOOKUP(Costing[[#This Row],[Payroll Team]],Staff_Info[],4,0),"")</f>
        <v>10</v>
      </c>
      <c r="H36" s="21">
        <f>IFERROR(VLOOKUP(Costing[[#This Row],[Payroll Frequency]],Frequency[],2,0),"")</f>
        <v>4.333333333333333</v>
      </c>
      <c r="I36" s="55">
        <f>IFERROR(Costing[[#This Row],[Payroll Hours/Month]]*Costing[[#This Row],[Payroll Rate]],0)</f>
        <v>65</v>
      </c>
      <c r="J36" s="54" t="s">
        <v>176</v>
      </c>
      <c r="K36" s="11" t="s">
        <v>115</v>
      </c>
      <c r="L36" s="11" t="s">
        <v>183</v>
      </c>
      <c r="M36" s="11">
        <v>15</v>
      </c>
      <c r="N36" s="22">
        <f>IFERROR(Costing[[#This Row],[Minutes/Super]]*Costing[[#This Row],[Super Factor]]/60,"")</f>
        <v>0.25</v>
      </c>
      <c r="O36" s="23">
        <f>IFERROR(VLOOKUP(Costing[[#This Row],[Super Team]],Staff_Info[],4,0),"")</f>
        <v>10</v>
      </c>
      <c r="P36" s="22">
        <f>IFERROR(VLOOKUP(Costing[[#This Row],[Super Frequency]],Frequency[],2,0),"")</f>
        <v>1</v>
      </c>
      <c r="Q36" s="55">
        <f>IFERROR(Costing[[#This Row],[Super Hours/Month]]*Costing[[#This Row],[Super Rate]],0)</f>
        <v>2.5</v>
      </c>
      <c r="R36" s="11" t="s">
        <v>177</v>
      </c>
      <c r="S36" s="11" t="s">
        <v>115</v>
      </c>
      <c r="T36" s="11" t="s">
        <v>183</v>
      </c>
      <c r="U36" s="11">
        <v>1650</v>
      </c>
      <c r="V36" s="22">
        <f>IFERROR(Costing[[#This Row],[Minutes/Activity]]*Costing[[#This Row],[Bookkeeping Factor]]/60,"")</f>
        <v>27.5</v>
      </c>
      <c r="W36" s="23">
        <f>IFERROR(VLOOKUP(Costing[[#This Row],[Bookkeeping Team]],Staff_Info[],4,0),"")</f>
        <v>10</v>
      </c>
      <c r="X36" s="22">
        <f>IFERROR(VLOOKUP(Costing[[#This Row],[Bookkeeping Frequency]],Frequency[],2,0),"")</f>
        <v>1</v>
      </c>
      <c r="Y36" s="55">
        <f>IFERROR(Costing[[#This Row],[Bookkeeping Hours/Month]]*Costing[[#This Row],[Bookkeeping Rate]],0)</f>
        <v>275</v>
      </c>
      <c r="Z36" s="11" t="s">
        <v>178</v>
      </c>
      <c r="AA36" s="11" t="s">
        <v>119</v>
      </c>
      <c r="AB36" s="11" t="s">
        <v>183</v>
      </c>
      <c r="AC36" s="11">
        <v>670</v>
      </c>
      <c r="AD36" s="22">
        <f>IFERROR(Costing[[#This Row],[Minutes/Report]]*Costing[[#This Row],[Reporting Factor]]/60,"")</f>
        <v>11.166666666666666</v>
      </c>
      <c r="AE36" s="23">
        <f>IFERROR(VLOOKUP(Costing[[#This Row],[Reporting Team]],Staff_Info[],4,0),"")</f>
        <v>50</v>
      </c>
      <c r="AF36" s="22">
        <f>IFERROR(VLOOKUP(Costing[[#This Row],[Reporting Frequency]],Frequency[],2,0),"")</f>
        <v>1</v>
      </c>
      <c r="AG36" s="55">
        <f>IFERROR(Costing[[#This Row],[Reporting Hours/Month]]*Costing[[#This Row],[Reporting Rate]],0)</f>
        <v>558.33333333333326</v>
      </c>
      <c r="AH36" s="11" t="s">
        <v>179</v>
      </c>
      <c r="AI36" s="11" t="s">
        <v>115</v>
      </c>
      <c r="AJ36" s="11" t="s">
        <v>157</v>
      </c>
      <c r="AK36" s="11">
        <v>60</v>
      </c>
      <c r="AL36" s="22">
        <f>IFERROR(Costing[[#This Row],[Minutes/BAS 1]]*Costing[[#This Row],[BAS 1 Factor]]/60,"")</f>
        <v>0.33333333333333331</v>
      </c>
      <c r="AM36" s="23">
        <f>IFERROR(VLOOKUP(Costing[[#This Row],[BAS 1 Team]],Staff_Info[],4,0),"")</f>
        <v>10</v>
      </c>
      <c r="AN36" s="22">
        <f>IFERROR(VLOOKUP(Costing[[#This Row],[BAS 1 Frequency]],Frequency[],2,0),"")</f>
        <v>0.33333333333333331</v>
      </c>
      <c r="AO36" s="55">
        <f>IFERROR(Costing[[#This Row],[BAS 1 Hours/Month]]*Costing[[#This Row],[BAS 1 Rate]],0)</f>
        <v>3.333333333333333</v>
      </c>
      <c r="AP36" s="11" t="s">
        <v>180</v>
      </c>
      <c r="AQ36" s="11" t="s">
        <v>117</v>
      </c>
      <c r="AR36" s="11" t="s">
        <v>157</v>
      </c>
      <c r="AS36" s="11">
        <v>15</v>
      </c>
      <c r="AT36" s="22">
        <f>IFERROR(Costing[[#This Row],[Minutes/BAS 2]]*Costing[[#This Row],[BAS 2 Factor]]/60,"")</f>
        <v>8.3333333333333329E-2</v>
      </c>
      <c r="AU36" s="23">
        <f>IFERROR(VLOOKUP(Costing[[#This Row],[BAS 2 Team]],Staff_Info[],4,0),"")</f>
        <v>30</v>
      </c>
      <c r="AV36" s="22">
        <f>IFERROR(VLOOKUP(Costing[[#This Row],[BAS 2 Frequency]],Frequency[],2,0),"")</f>
        <v>0.33333333333333331</v>
      </c>
      <c r="AW36" s="55">
        <f>IFERROR(Costing[[#This Row],[BAS 2 Hours/Month]]*Costing[[#This Row],[BAS 2 Rate]],0)</f>
        <v>2.5</v>
      </c>
      <c r="AX36" s="11" t="s">
        <v>181</v>
      </c>
      <c r="AY36" s="11" t="s">
        <v>117</v>
      </c>
      <c r="AZ36" s="11" t="s">
        <v>183</v>
      </c>
      <c r="BA36" s="11">
        <v>30</v>
      </c>
      <c r="BB36" s="22">
        <f>IFERROR(Costing[[#This Row],[Minutes/IAS]]*Costing[[#This Row],[IAS Factor]]/60,"")</f>
        <v>0.5</v>
      </c>
      <c r="BC36" s="23">
        <f>IFERROR(VLOOKUP(Costing[[#This Row],[IAS Team]],Staff_Info[],4,0),"")</f>
        <v>30</v>
      </c>
      <c r="BD36" s="22">
        <f>IFERROR(VLOOKUP(Costing[[#This Row],[IAS Frequency]],Frequency[],2,0),"")</f>
        <v>1</v>
      </c>
      <c r="BE36" s="56">
        <f>IFERROR(Costing[[#This Row],[IAS Hours/Month]]*Costing[[#This Row],[IAS Rate]],0)</f>
        <v>15</v>
      </c>
      <c r="BF36" s="11" t="s">
        <v>182</v>
      </c>
      <c r="BG36" s="11" t="s">
        <v>119</v>
      </c>
      <c r="BH36" s="11">
        <v>180</v>
      </c>
      <c r="BI36" s="23">
        <f>IFERROR(VLOOKUP(Costing[[#This Row],[EOFY Team 1]],Staff_Info[],4,0),"")</f>
        <v>50</v>
      </c>
      <c r="BJ36" s="57">
        <f>Costing[[#This Row],[Time Min 1]]/12</f>
        <v>15</v>
      </c>
      <c r="BK36" s="11" t="s">
        <v>115</v>
      </c>
      <c r="BL36" s="11">
        <v>120</v>
      </c>
      <c r="BM36" s="23">
        <f>IFERROR(VLOOKUP(Costing[[#This Row],[EOFY Team 2]],Staff_Info[],4,0),"")</f>
        <v>10</v>
      </c>
      <c r="BN36" s="57">
        <f>Costing[[#This Row],[Time Min 2]]/12</f>
        <v>10</v>
      </c>
      <c r="BO36" s="55">
        <f>IFERROR((Costing[[#This Row],[EOFY 1 Min/Month]]/60*Costing[[#This Row],[EOFY Team 1 Rate]])+(Costing[[#This Row],[EOFY 2 Min/Month]]/60*Costing[[#This Row],[EOFY Team 2 Rate]]),0)</f>
        <v>14.166666666666666</v>
      </c>
      <c r="BP36" s="11"/>
      <c r="BQ36" s="55">
        <f>IFERROR(VLOOKUP(Costing[[#This Row],[Software Name]],Software[],2,0),0)</f>
        <v>0</v>
      </c>
      <c r="BR36" s="59" t="s">
        <v>294</v>
      </c>
      <c r="BS36" s="11" t="s">
        <v>119</v>
      </c>
      <c r="BT36" s="60">
        <f>IF(Costing[[#This Row],[Minutes/Activity]]&gt;0,Costing[[#This Row],[Minutes/Activity]]*Costing[[#This Row],[Onboarding Factor]],"")</f>
        <v>9817.5</v>
      </c>
      <c r="BU36" s="60">
        <f>IFERROR(Costing[[#This Row],[Onboarding Minutes]]/60,)</f>
        <v>163.625</v>
      </c>
      <c r="BV36" s="60">
        <f t="shared" si="2"/>
        <v>79.92</v>
      </c>
      <c r="BW36" s="61">
        <f>IFERROR(VLOOKUP(Costing[[#This Row],[Onboarding Team]],Staff_Info[],4,0),"")</f>
        <v>50</v>
      </c>
      <c r="BX36" s="60">
        <f t="shared" si="3"/>
        <v>5.95</v>
      </c>
      <c r="BY36" s="55">
        <f>IFERROR(Costing[[#This Row],[Onboarding Hours]]/Costing[[#This Row],[Client Life Expectancy (Months)]]*Costing[[#This Row],[Onboarding Rate]],0)</f>
        <v>102.367992992993</v>
      </c>
      <c r="BZ36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1038.2013263263264</v>
      </c>
      <c r="CA36" s="27">
        <v>2801.75</v>
      </c>
      <c r="CB36" s="63">
        <f>IFERROR((Costing[[#This Row],[Current Sales Price]]-Costing[[#This Row],[Total  Cost excl. Software]])/Costing[[#This Row],[Current Sales Price]],)</f>
        <v>0.62944540864590837</v>
      </c>
      <c r="CC36" s="64">
        <f>Costing[[#This Row],[Total  Cost excl. Software]]/(1-$CC$1)</f>
        <v>2966.2895037895041</v>
      </c>
    </row>
    <row r="37" spans="1:81" x14ac:dyDescent="0.2">
      <c r="A37" s="11" t="s">
        <v>35</v>
      </c>
      <c r="B37" s="48" t="s">
        <v>145</v>
      </c>
      <c r="C37" s="17" t="s">
        <v>116</v>
      </c>
      <c r="D37" s="17" t="s">
        <v>183</v>
      </c>
      <c r="E37" s="17">
        <v>10</v>
      </c>
      <c r="F37" s="21">
        <f>IFERROR(Costing[[#This Row],[Minutes/Pay Run]]*Costing[[#This Row],[Payroll Factor]]/60,"")</f>
        <v>0.16666666666666666</v>
      </c>
      <c r="G37" s="54">
        <f>IFERROR(VLOOKUP(Costing[[#This Row],[Payroll Team]],Staff_Info[],4,0),"")</f>
        <v>10</v>
      </c>
      <c r="H37" s="21">
        <f>IFERROR(VLOOKUP(Costing[[#This Row],[Payroll Frequency]],Frequency[],2,0),"")</f>
        <v>1</v>
      </c>
      <c r="I37" s="55">
        <f>IFERROR(Costing[[#This Row],[Payroll Hours/Month]]*Costing[[#This Row],[Payroll Rate]],0)</f>
        <v>1.6666666666666665</v>
      </c>
      <c r="J37" s="54" t="s">
        <v>176</v>
      </c>
      <c r="K37" s="11" t="s">
        <v>116</v>
      </c>
      <c r="L37" s="11" t="s">
        <v>157</v>
      </c>
      <c r="M37" s="11">
        <v>15</v>
      </c>
      <c r="N37" s="22">
        <f>IFERROR(Costing[[#This Row],[Minutes/Super]]*Costing[[#This Row],[Super Factor]]/60,"")</f>
        <v>8.3333333333333329E-2</v>
      </c>
      <c r="O37" s="23">
        <f>IFERROR(VLOOKUP(Costing[[#This Row],[Super Team]],Staff_Info[],4,0),"")</f>
        <v>10</v>
      </c>
      <c r="P37" s="22">
        <f>IFERROR(VLOOKUP(Costing[[#This Row],[Super Frequency]],Frequency[],2,0),"")</f>
        <v>0.33333333333333331</v>
      </c>
      <c r="Q37" s="55">
        <f>IFERROR(Costing[[#This Row],[Super Hours/Month]]*Costing[[#This Row],[Super Rate]],0)</f>
        <v>0.83333333333333326</v>
      </c>
      <c r="R37" s="11" t="s">
        <v>177</v>
      </c>
      <c r="S37" s="11" t="s">
        <v>116</v>
      </c>
      <c r="T37" s="11" t="s">
        <v>183</v>
      </c>
      <c r="U37" s="11">
        <v>90</v>
      </c>
      <c r="V37" s="22">
        <f>IFERROR(Costing[[#This Row],[Minutes/Activity]]*Costing[[#This Row],[Bookkeeping Factor]]/60,"")</f>
        <v>1.5</v>
      </c>
      <c r="W37" s="23">
        <f>IFERROR(VLOOKUP(Costing[[#This Row],[Bookkeeping Team]],Staff_Info[],4,0),"")</f>
        <v>10</v>
      </c>
      <c r="X37" s="22">
        <f>IFERROR(VLOOKUP(Costing[[#This Row],[Bookkeeping Frequency]],Frequency[],2,0),"")</f>
        <v>1</v>
      </c>
      <c r="Y37" s="55">
        <f>IFERROR(Costing[[#This Row],[Bookkeeping Hours/Month]]*Costing[[#This Row],[Bookkeeping Rate]],0)</f>
        <v>15</v>
      </c>
      <c r="Z37" s="11" t="s">
        <v>178</v>
      </c>
      <c r="AA37" s="11" t="s">
        <v>119</v>
      </c>
      <c r="AB37" s="11" t="s">
        <v>183</v>
      </c>
      <c r="AC37" s="11">
        <v>15</v>
      </c>
      <c r="AD37" s="22">
        <f>IFERROR(Costing[[#This Row],[Minutes/Report]]*Costing[[#This Row],[Reporting Factor]]/60,"")</f>
        <v>0.25</v>
      </c>
      <c r="AE37" s="23">
        <f>IFERROR(VLOOKUP(Costing[[#This Row],[Reporting Team]],Staff_Info[],4,0),"")</f>
        <v>50</v>
      </c>
      <c r="AF37" s="22">
        <f>IFERROR(VLOOKUP(Costing[[#This Row],[Reporting Frequency]],Frequency[],2,0),"")</f>
        <v>1</v>
      </c>
      <c r="AG37" s="55">
        <f>IFERROR(Costing[[#This Row],[Reporting Hours/Month]]*Costing[[#This Row],[Reporting Rate]],0)</f>
        <v>12.5</v>
      </c>
      <c r="AH37" s="11" t="s">
        <v>179</v>
      </c>
      <c r="AI37" s="11" t="s">
        <v>118</v>
      </c>
      <c r="AJ37" s="11" t="s">
        <v>157</v>
      </c>
      <c r="AK37" s="11">
        <v>60</v>
      </c>
      <c r="AL37" s="22">
        <f>IFERROR(Costing[[#This Row],[Minutes/BAS 1]]*Costing[[#This Row],[BAS 1 Factor]]/60,"")</f>
        <v>0.33333333333333331</v>
      </c>
      <c r="AM37" s="23">
        <f>IFERROR(VLOOKUP(Costing[[#This Row],[BAS 1 Team]],Staff_Info[],4,0),"")</f>
        <v>10</v>
      </c>
      <c r="AN37" s="22">
        <f>IFERROR(VLOOKUP(Costing[[#This Row],[BAS 1 Frequency]],Frequency[],2,0),"")</f>
        <v>0.33333333333333331</v>
      </c>
      <c r="AO37" s="55">
        <f>IFERROR(Costing[[#This Row],[BAS 1 Hours/Month]]*Costing[[#This Row],[BAS 1 Rate]],0)</f>
        <v>3.333333333333333</v>
      </c>
      <c r="AP37" s="11" t="s">
        <v>180</v>
      </c>
      <c r="AQ37" s="11" t="s">
        <v>117</v>
      </c>
      <c r="AR37" s="11" t="s">
        <v>157</v>
      </c>
      <c r="AS37" s="11">
        <v>15</v>
      </c>
      <c r="AT37" s="22">
        <f>IFERROR(Costing[[#This Row],[Minutes/BAS 2]]*Costing[[#This Row],[BAS 2 Factor]]/60,"")</f>
        <v>8.3333333333333329E-2</v>
      </c>
      <c r="AU37" s="23">
        <f>IFERROR(VLOOKUP(Costing[[#This Row],[BAS 2 Team]],Staff_Info[],4,0),"")</f>
        <v>30</v>
      </c>
      <c r="AV37" s="22">
        <f>IFERROR(VLOOKUP(Costing[[#This Row],[BAS 2 Frequency]],Frequency[],2,0),"")</f>
        <v>0.33333333333333331</v>
      </c>
      <c r="AW37" s="55">
        <f>IFERROR(Costing[[#This Row],[BAS 2 Hours/Month]]*Costing[[#This Row],[BAS 2 Rate]],0)</f>
        <v>2.5</v>
      </c>
      <c r="AX37" s="11"/>
      <c r="AY37" s="11"/>
      <c r="AZ37" s="11"/>
      <c r="BA37" s="11"/>
      <c r="BB37" s="22" t="str">
        <f>IFERROR(Costing[[#This Row],[Minutes/IAS]]*Costing[[#This Row],[IAS Factor]]/60,"")</f>
        <v/>
      </c>
      <c r="BC37" s="23" t="str">
        <f>IFERROR(VLOOKUP(Costing[[#This Row],[IAS Team]],Staff_Info[],4,0),"")</f>
        <v/>
      </c>
      <c r="BD37" s="22" t="str">
        <f>IFERROR(VLOOKUP(Costing[[#This Row],[IAS Frequency]],Frequency[],2,0),"")</f>
        <v/>
      </c>
      <c r="BE37" s="56">
        <f>IFERROR(Costing[[#This Row],[IAS Hours/Month]]*Costing[[#This Row],[IAS Rate]],0)</f>
        <v>0</v>
      </c>
      <c r="BF37" s="11" t="s">
        <v>182</v>
      </c>
      <c r="BG37" s="11" t="s">
        <v>119</v>
      </c>
      <c r="BH37" s="11">
        <v>60</v>
      </c>
      <c r="BI37" s="23">
        <f>IFERROR(VLOOKUP(Costing[[#This Row],[EOFY Team 1]],Staff_Info[],4,0),"")</f>
        <v>50</v>
      </c>
      <c r="BJ37" s="57">
        <f>Costing[[#This Row],[Time Min 1]]/12</f>
        <v>5</v>
      </c>
      <c r="BK37" s="11" t="s">
        <v>116</v>
      </c>
      <c r="BL37" s="11">
        <v>60</v>
      </c>
      <c r="BM37" s="23">
        <f>IFERROR(VLOOKUP(Costing[[#This Row],[EOFY Team 2]],Staff_Info[],4,0),"")</f>
        <v>10</v>
      </c>
      <c r="BN37" s="57">
        <f>Costing[[#This Row],[Time Min 2]]/12</f>
        <v>5</v>
      </c>
      <c r="BO37" s="55">
        <f>IFERROR((Costing[[#This Row],[EOFY 1 Min/Month]]/60*Costing[[#This Row],[EOFY Team 1 Rate]])+(Costing[[#This Row],[EOFY 2 Min/Month]]/60*Costing[[#This Row],[EOFY Team 2 Rate]]),0)</f>
        <v>4.9999999999999991</v>
      </c>
      <c r="BP37" s="11" t="s">
        <v>164</v>
      </c>
      <c r="BQ37" s="55">
        <f>IFERROR(VLOOKUP(Costing[[#This Row],[Software Name]],Software[],2,0),0)</f>
        <v>47.27</v>
      </c>
      <c r="BR37" s="59" t="s">
        <v>294</v>
      </c>
      <c r="BS37" s="11" t="s">
        <v>119</v>
      </c>
      <c r="BT37" s="60">
        <f>IF(Costing[[#This Row],[Minutes/Activity]]&gt;0,Costing[[#This Row],[Minutes/Activity]]*Costing[[#This Row],[Onboarding Factor]],"")</f>
        <v>535.5</v>
      </c>
      <c r="BU37" s="60">
        <f>IFERROR(Costing[[#This Row],[Onboarding Minutes]]/60,)</f>
        <v>8.9250000000000007</v>
      </c>
      <c r="BV37" s="60">
        <f t="shared" si="2"/>
        <v>79.92</v>
      </c>
      <c r="BW37" s="61">
        <f>IFERROR(VLOOKUP(Costing[[#This Row],[Onboarding Team]],Staff_Info[],4,0),"")</f>
        <v>50</v>
      </c>
      <c r="BX37" s="60">
        <f t="shared" si="3"/>
        <v>5.95</v>
      </c>
      <c r="BY37" s="55">
        <f>IFERROR(Costing[[#This Row],[Onboarding Hours]]/Costing[[#This Row],[Client Life Expectancy (Months)]]*Costing[[#This Row],[Onboarding Rate]],0)</f>
        <v>5.5837087087087092</v>
      </c>
      <c r="BZ37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46.417042042042041</v>
      </c>
      <c r="CA37" s="27">
        <v>110</v>
      </c>
      <c r="CB37" s="63">
        <f>IFERROR((Costing[[#This Row],[Current Sales Price]]-Costing[[#This Row],[Total  Cost excl. Software]])/Costing[[#This Row],[Current Sales Price]],)</f>
        <v>0.57802689052689049</v>
      </c>
      <c r="CC37" s="64">
        <f>Costing[[#This Row],[Total  Cost excl. Software]]/(1-$CC$1)</f>
        <v>132.62012012012013</v>
      </c>
    </row>
    <row r="38" spans="1:81" x14ac:dyDescent="0.2">
      <c r="A38" s="11" t="s">
        <v>36</v>
      </c>
      <c r="B38" s="48" t="s">
        <v>145</v>
      </c>
      <c r="C38" s="17" t="s">
        <v>118</v>
      </c>
      <c r="D38" s="17" t="s">
        <v>154</v>
      </c>
      <c r="E38" s="17">
        <v>20</v>
      </c>
      <c r="F38" s="21">
        <f>IFERROR(Costing[[#This Row],[Minutes/Pay Run]]*Costing[[#This Row],[Payroll Factor]]/60,"")</f>
        <v>1.4444444444444442</v>
      </c>
      <c r="G38" s="54">
        <f>IFERROR(VLOOKUP(Costing[[#This Row],[Payroll Team]],Staff_Info[],4,0),"")</f>
        <v>10</v>
      </c>
      <c r="H38" s="21">
        <f>IFERROR(VLOOKUP(Costing[[#This Row],[Payroll Frequency]],Frequency[],2,0),"")</f>
        <v>4.333333333333333</v>
      </c>
      <c r="I38" s="55">
        <f>IFERROR(Costing[[#This Row],[Payroll Hours/Month]]*Costing[[#This Row],[Payroll Rate]],0)</f>
        <v>14.444444444444443</v>
      </c>
      <c r="J38" s="54" t="s">
        <v>176</v>
      </c>
      <c r="K38" s="11" t="s">
        <v>118</v>
      </c>
      <c r="L38" s="11" t="s">
        <v>157</v>
      </c>
      <c r="M38" s="11">
        <v>15</v>
      </c>
      <c r="N38" s="22">
        <f>IFERROR(Costing[[#This Row],[Minutes/Super]]*Costing[[#This Row],[Super Factor]]/60,"")</f>
        <v>8.3333333333333329E-2</v>
      </c>
      <c r="O38" s="23">
        <f>IFERROR(VLOOKUP(Costing[[#This Row],[Super Team]],Staff_Info[],4,0),"")</f>
        <v>10</v>
      </c>
      <c r="P38" s="22">
        <f>IFERROR(VLOOKUP(Costing[[#This Row],[Super Frequency]],Frequency[],2,0),"")</f>
        <v>0.33333333333333331</v>
      </c>
      <c r="Q38" s="55">
        <f>IFERROR(Costing[[#This Row],[Super Hours/Month]]*Costing[[#This Row],[Super Rate]],0)</f>
        <v>0.83333333333333326</v>
      </c>
      <c r="R38" s="11" t="s">
        <v>177</v>
      </c>
      <c r="S38" s="11" t="s">
        <v>118</v>
      </c>
      <c r="T38" s="11" t="s">
        <v>183</v>
      </c>
      <c r="U38" s="11">
        <v>300</v>
      </c>
      <c r="V38" s="22">
        <f>IFERROR(Costing[[#This Row],[Minutes/Activity]]*Costing[[#This Row],[Bookkeeping Factor]]/60,"")</f>
        <v>5</v>
      </c>
      <c r="W38" s="23">
        <f>IFERROR(VLOOKUP(Costing[[#This Row],[Bookkeeping Team]],Staff_Info[],4,0),"")</f>
        <v>10</v>
      </c>
      <c r="X38" s="22">
        <f>IFERROR(VLOOKUP(Costing[[#This Row],[Bookkeeping Frequency]],Frequency[],2,0),"")</f>
        <v>1</v>
      </c>
      <c r="Y38" s="55">
        <f>IFERROR(Costing[[#This Row],[Bookkeeping Hours/Month]]*Costing[[#This Row],[Bookkeeping Rate]],0)</f>
        <v>50</v>
      </c>
      <c r="Z38" s="11" t="s">
        <v>178</v>
      </c>
      <c r="AA38" s="11" t="s">
        <v>126</v>
      </c>
      <c r="AB38" s="11" t="s">
        <v>183</v>
      </c>
      <c r="AC38" s="11">
        <v>15</v>
      </c>
      <c r="AD38" s="22">
        <f>IFERROR(Costing[[#This Row],[Minutes/Report]]*Costing[[#This Row],[Reporting Factor]]/60,"")</f>
        <v>0.25</v>
      </c>
      <c r="AE38" s="23">
        <f>IFERROR(VLOOKUP(Costing[[#This Row],[Reporting Team]],Staff_Info[],4,0),"")</f>
        <v>50</v>
      </c>
      <c r="AF38" s="22">
        <f>IFERROR(VLOOKUP(Costing[[#This Row],[Reporting Frequency]],Frequency[],2,0),"")</f>
        <v>1</v>
      </c>
      <c r="AG38" s="55">
        <f>IFERROR(Costing[[#This Row],[Reporting Hours/Month]]*Costing[[#This Row],[Reporting Rate]],0)</f>
        <v>12.5</v>
      </c>
      <c r="AH38" s="11" t="s">
        <v>179</v>
      </c>
      <c r="AI38" s="11" t="s">
        <v>118</v>
      </c>
      <c r="AJ38" s="11" t="s">
        <v>157</v>
      </c>
      <c r="AK38" s="11">
        <v>60</v>
      </c>
      <c r="AL38" s="22">
        <f>IFERROR(Costing[[#This Row],[Minutes/BAS 1]]*Costing[[#This Row],[BAS 1 Factor]]/60,"")</f>
        <v>0.33333333333333331</v>
      </c>
      <c r="AM38" s="23">
        <f>IFERROR(VLOOKUP(Costing[[#This Row],[BAS 1 Team]],Staff_Info[],4,0),"")</f>
        <v>10</v>
      </c>
      <c r="AN38" s="22">
        <f>IFERROR(VLOOKUP(Costing[[#This Row],[BAS 1 Frequency]],Frequency[],2,0),"")</f>
        <v>0.33333333333333331</v>
      </c>
      <c r="AO38" s="55">
        <f>IFERROR(Costing[[#This Row],[BAS 1 Hours/Month]]*Costing[[#This Row],[BAS 1 Rate]],0)</f>
        <v>3.333333333333333</v>
      </c>
      <c r="AP38" s="11" t="s">
        <v>180</v>
      </c>
      <c r="AQ38" s="11" t="s">
        <v>117</v>
      </c>
      <c r="AR38" s="11" t="s">
        <v>157</v>
      </c>
      <c r="AS38" s="11">
        <v>15</v>
      </c>
      <c r="AT38" s="22">
        <f>IFERROR(Costing[[#This Row],[Minutes/BAS 2]]*Costing[[#This Row],[BAS 2 Factor]]/60,"")</f>
        <v>8.3333333333333329E-2</v>
      </c>
      <c r="AU38" s="23">
        <f>IFERROR(VLOOKUP(Costing[[#This Row],[BAS 2 Team]],Staff_Info[],4,0),"")</f>
        <v>30</v>
      </c>
      <c r="AV38" s="22">
        <f>IFERROR(VLOOKUP(Costing[[#This Row],[BAS 2 Frequency]],Frequency[],2,0),"")</f>
        <v>0.33333333333333331</v>
      </c>
      <c r="AW38" s="55">
        <f>IFERROR(Costing[[#This Row],[BAS 2 Hours/Month]]*Costing[[#This Row],[BAS 2 Rate]],0)</f>
        <v>2.5</v>
      </c>
      <c r="AX38" s="11"/>
      <c r="AY38" s="11"/>
      <c r="AZ38" s="11"/>
      <c r="BA38" s="11"/>
      <c r="BB38" s="22" t="str">
        <f>IFERROR(Costing[[#This Row],[Minutes/IAS]]*Costing[[#This Row],[IAS Factor]]/60,"")</f>
        <v/>
      </c>
      <c r="BC38" s="23" t="str">
        <f>IFERROR(VLOOKUP(Costing[[#This Row],[IAS Team]],Staff_Info[],4,0),"")</f>
        <v/>
      </c>
      <c r="BD38" s="22" t="str">
        <f>IFERROR(VLOOKUP(Costing[[#This Row],[IAS Frequency]],Frequency[],2,0),"")</f>
        <v/>
      </c>
      <c r="BE38" s="56">
        <f>IFERROR(Costing[[#This Row],[IAS Hours/Month]]*Costing[[#This Row],[IAS Rate]],0)</f>
        <v>0</v>
      </c>
      <c r="BF38" s="11" t="s">
        <v>182</v>
      </c>
      <c r="BG38" s="11" t="s">
        <v>118</v>
      </c>
      <c r="BH38" s="11">
        <v>120</v>
      </c>
      <c r="BI38" s="23">
        <f>IFERROR(VLOOKUP(Costing[[#This Row],[EOFY Team 1]],Staff_Info[],4,0),"")</f>
        <v>10</v>
      </c>
      <c r="BJ38" s="57">
        <f>Costing[[#This Row],[Time Min 1]]/12</f>
        <v>10</v>
      </c>
      <c r="BK38" s="11" t="s">
        <v>117</v>
      </c>
      <c r="BL38" s="11">
        <v>120</v>
      </c>
      <c r="BM38" s="23">
        <f>IFERROR(VLOOKUP(Costing[[#This Row],[EOFY Team 2]],Staff_Info[],4,0),"")</f>
        <v>30</v>
      </c>
      <c r="BN38" s="57">
        <f>Costing[[#This Row],[Time Min 2]]/12</f>
        <v>10</v>
      </c>
      <c r="BO38" s="55">
        <f>IFERROR((Costing[[#This Row],[EOFY 1 Min/Month]]/60*Costing[[#This Row],[EOFY Team 1 Rate]])+(Costing[[#This Row],[EOFY 2 Min/Month]]/60*Costing[[#This Row],[EOFY Team 2 Rate]]),0)</f>
        <v>6.6666666666666661</v>
      </c>
      <c r="BP38" s="11"/>
      <c r="BQ38" s="55">
        <f>IFERROR(VLOOKUP(Costing[[#This Row],[Software Name]],Software[],2,0),0)</f>
        <v>0</v>
      </c>
      <c r="BR38" s="59" t="s">
        <v>294</v>
      </c>
      <c r="BS38" s="11" t="s">
        <v>126</v>
      </c>
      <c r="BT38" s="60">
        <f>IF(Costing[[#This Row],[Minutes/Activity]]&gt;0,Costing[[#This Row],[Minutes/Activity]]*Costing[[#This Row],[Onboarding Factor]],"")</f>
        <v>1785</v>
      </c>
      <c r="BU38" s="60">
        <f>IFERROR(Costing[[#This Row],[Onboarding Minutes]]/60,)</f>
        <v>29.75</v>
      </c>
      <c r="BV38" s="60">
        <f t="shared" si="2"/>
        <v>79.92</v>
      </c>
      <c r="BW38" s="61">
        <f>IFERROR(VLOOKUP(Costing[[#This Row],[Onboarding Team]],Staff_Info[],4,0),"")</f>
        <v>50</v>
      </c>
      <c r="BX38" s="60">
        <f t="shared" si="3"/>
        <v>5.95</v>
      </c>
      <c r="BY38" s="55">
        <f>IFERROR(Costing[[#This Row],[Onboarding Hours]]/Costing[[#This Row],[Client Life Expectancy (Months)]]*Costing[[#This Row],[Onboarding Rate]],0)</f>
        <v>18.612362362362362</v>
      </c>
      <c r="BZ38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108.89014014014013</v>
      </c>
      <c r="CA38" s="27">
        <v>204.7</v>
      </c>
      <c r="CB38" s="63">
        <f>IFERROR((Costing[[#This Row],[Current Sales Price]]-Costing[[#This Row],[Total  Cost excl. Software]])/Costing[[#This Row],[Current Sales Price]],)</f>
        <v>0.46805012144533398</v>
      </c>
      <c r="CC38" s="64">
        <f>Costing[[#This Row],[Total  Cost excl. Software]]/(1-$CC$1)</f>
        <v>311.11468611468609</v>
      </c>
    </row>
    <row r="39" spans="1:81" x14ac:dyDescent="0.2">
      <c r="A39" s="11" t="s">
        <v>38</v>
      </c>
      <c r="B39" s="48"/>
      <c r="C39" s="17"/>
      <c r="D39" s="17"/>
      <c r="E39" s="17"/>
      <c r="F39" s="21" t="str">
        <f>IFERROR(Costing[[#This Row],[Minutes/Pay Run]]*Costing[[#This Row],[Payroll Factor]]/60,"")</f>
        <v/>
      </c>
      <c r="G39" s="54" t="str">
        <f>IFERROR(VLOOKUP(Costing[[#This Row],[Payroll Team]],Staff_Info[],4,0),"")</f>
        <v/>
      </c>
      <c r="H39" s="21" t="str">
        <f>IFERROR(VLOOKUP(Costing[[#This Row],[Payroll Frequency]],Frequency[],2,0),"")</f>
        <v/>
      </c>
      <c r="I39" s="55">
        <f>IFERROR(Costing[[#This Row],[Payroll Hours/Month]]*Costing[[#This Row],[Payroll Rate]],0)</f>
        <v>0</v>
      </c>
      <c r="J39" s="54"/>
      <c r="K39" s="11"/>
      <c r="L39" s="11"/>
      <c r="M39" s="11"/>
      <c r="N39" s="22" t="str">
        <f>IFERROR(Costing[[#This Row],[Minutes/Super]]*Costing[[#This Row],[Super Factor]]/60,"")</f>
        <v/>
      </c>
      <c r="O39" s="23" t="str">
        <f>IFERROR(VLOOKUP(Costing[[#This Row],[Super Team]],Staff_Info[],4,0),"")</f>
        <v/>
      </c>
      <c r="P39" s="22" t="str">
        <f>IFERROR(VLOOKUP(Costing[[#This Row],[Super Frequency]],Frequency[],2,0),"")</f>
        <v/>
      </c>
      <c r="Q39" s="55">
        <f>IFERROR(Costing[[#This Row],[Super Hours/Month]]*Costing[[#This Row],[Super Rate]],0)</f>
        <v>0</v>
      </c>
      <c r="R39" s="11" t="s">
        <v>177</v>
      </c>
      <c r="S39" s="11" t="s">
        <v>115</v>
      </c>
      <c r="T39" s="11" t="s">
        <v>183</v>
      </c>
      <c r="U39" s="11">
        <v>29</v>
      </c>
      <c r="V39" s="22">
        <f>IFERROR(Costing[[#This Row],[Minutes/Activity]]*Costing[[#This Row],[Bookkeeping Factor]]/60,"")</f>
        <v>0.48333333333333334</v>
      </c>
      <c r="W39" s="23">
        <f>IFERROR(VLOOKUP(Costing[[#This Row],[Bookkeeping Team]],Staff_Info[],4,0),"")</f>
        <v>10</v>
      </c>
      <c r="X39" s="22">
        <f>IFERROR(VLOOKUP(Costing[[#This Row],[Bookkeeping Frequency]],Frequency[],2,0),"")</f>
        <v>1</v>
      </c>
      <c r="Y39" s="55">
        <f>IFERROR(Costing[[#This Row],[Bookkeeping Hours/Month]]*Costing[[#This Row],[Bookkeeping Rate]],0)</f>
        <v>4.833333333333333</v>
      </c>
      <c r="Z39" s="11"/>
      <c r="AA39" s="11"/>
      <c r="AB39" s="11"/>
      <c r="AC39" s="11"/>
      <c r="AD39" s="22" t="str">
        <f>IFERROR(Costing[[#This Row],[Minutes/Report]]*Costing[[#This Row],[Reporting Factor]]/60,"")</f>
        <v/>
      </c>
      <c r="AE39" s="23" t="str">
        <f>IFERROR(VLOOKUP(Costing[[#This Row],[Reporting Team]],Staff_Info[],4,0),"")</f>
        <v/>
      </c>
      <c r="AF39" s="22" t="str">
        <f>IFERROR(VLOOKUP(Costing[[#This Row],[Reporting Frequency]],Frequency[],2,0),"")</f>
        <v/>
      </c>
      <c r="AG39" s="55">
        <f>IFERROR(Costing[[#This Row],[Reporting Hours/Month]]*Costing[[#This Row],[Reporting Rate]],0)</f>
        <v>0</v>
      </c>
      <c r="AH39" s="11" t="s">
        <v>179</v>
      </c>
      <c r="AI39" s="11" t="s">
        <v>115</v>
      </c>
      <c r="AJ39" s="11" t="s">
        <v>157</v>
      </c>
      <c r="AK39" s="11">
        <v>60</v>
      </c>
      <c r="AL39" s="22">
        <f>IFERROR(Costing[[#This Row],[Minutes/BAS 1]]*Costing[[#This Row],[BAS 1 Factor]]/60,"")</f>
        <v>0.33333333333333331</v>
      </c>
      <c r="AM39" s="23">
        <f>IFERROR(VLOOKUP(Costing[[#This Row],[BAS 1 Team]],Staff_Info[],4,0),"")</f>
        <v>10</v>
      </c>
      <c r="AN39" s="22">
        <f>IFERROR(VLOOKUP(Costing[[#This Row],[BAS 1 Frequency]],Frequency[],2,0),"")</f>
        <v>0.33333333333333331</v>
      </c>
      <c r="AO39" s="55">
        <f>IFERROR(Costing[[#This Row],[BAS 1 Hours/Month]]*Costing[[#This Row],[BAS 1 Rate]],0)</f>
        <v>3.333333333333333</v>
      </c>
      <c r="AP39" s="11" t="s">
        <v>180</v>
      </c>
      <c r="AQ39" s="11" t="s">
        <v>117</v>
      </c>
      <c r="AR39" s="11" t="s">
        <v>157</v>
      </c>
      <c r="AS39" s="11">
        <v>15</v>
      </c>
      <c r="AT39" s="22">
        <f>IFERROR(Costing[[#This Row],[Minutes/BAS 2]]*Costing[[#This Row],[BAS 2 Factor]]/60,"")</f>
        <v>8.3333333333333329E-2</v>
      </c>
      <c r="AU39" s="23">
        <f>IFERROR(VLOOKUP(Costing[[#This Row],[BAS 2 Team]],Staff_Info[],4,0),"")</f>
        <v>30</v>
      </c>
      <c r="AV39" s="22">
        <f>IFERROR(VLOOKUP(Costing[[#This Row],[BAS 2 Frequency]],Frequency[],2,0),"")</f>
        <v>0.33333333333333331</v>
      </c>
      <c r="AW39" s="55">
        <f>IFERROR(Costing[[#This Row],[BAS 2 Hours/Month]]*Costing[[#This Row],[BAS 2 Rate]],0)</f>
        <v>2.5</v>
      </c>
      <c r="AX39" s="11"/>
      <c r="AY39" s="11"/>
      <c r="AZ39" s="11"/>
      <c r="BA39" s="11"/>
      <c r="BB39" s="22" t="str">
        <f>IFERROR(Costing[[#This Row],[Minutes/IAS]]*Costing[[#This Row],[IAS Factor]]/60,"")</f>
        <v/>
      </c>
      <c r="BC39" s="23" t="str">
        <f>IFERROR(VLOOKUP(Costing[[#This Row],[IAS Team]],Staff_Info[],4,0),"")</f>
        <v/>
      </c>
      <c r="BD39" s="22" t="str">
        <f>IFERROR(VLOOKUP(Costing[[#This Row],[IAS Frequency]],Frequency[],2,0),"")</f>
        <v/>
      </c>
      <c r="BE39" s="56">
        <f>IFERROR(Costing[[#This Row],[IAS Hours/Month]]*Costing[[#This Row],[IAS Rate]],0)</f>
        <v>0</v>
      </c>
      <c r="BF39" s="11" t="s">
        <v>182</v>
      </c>
      <c r="BG39" s="11" t="s">
        <v>115</v>
      </c>
      <c r="BH39" s="11">
        <v>60</v>
      </c>
      <c r="BI39" s="23">
        <f>IFERROR(VLOOKUP(Costing[[#This Row],[EOFY Team 1]],Staff_Info[],4,0),"")</f>
        <v>10</v>
      </c>
      <c r="BJ39" s="57">
        <f>Costing[[#This Row],[Time Min 1]]/12</f>
        <v>5</v>
      </c>
      <c r="BK39" s="11"/>
      <c r="BL39" s="11"/>
      <c r="BM39" s="23" t="str">
        <f>IFERROR(VLOOKUP(Costing[[#This Row],[EOFY Team 2]],Staff_Info[],4,0),"")</f>
        <v/>
      </c>
      <c r="BN39" s="57">
        <f>Costing[[#This Row],[Time Min 2]]/12</f>
        <v>0</v>
      </c>
      <c r="BO39" s="55">
        <f>IFERROR((Costing[[#This Row],[EOFY 1 Min/Month]]/60*Costing[[#This Row],[EOFY Team 1 Rate]])+(Costing[[#This Row],[EOFY 2 Min/Month]]/60*Costing[[#This Row],[EOFY Team 2 Rate]]),0)</f>
        <v>0</v>
      </c>
      <c r="BP39" s="11" t="s">
        <v>162</v>
      </c>
      <c r="BQ39" s="55">
        <f>IFERROR(VLOOKUP(Costing[[#This Row],[Software Name]],Software[],2,0),0)</f>
        <v>18.18</v>
      </c>
      <c r="BR39" s="59" t="s">
        <v>294</v>
      </c>
      <c r="BS39" s="11" t="s">
        <v>126</v>
      </c>
      <c r="BT39" s="60">
        <f>IF(Costing[[#This Row],[Minutes/Activity]]&gt;0,Costing[[#This Row],[Minutes/Activity]]*Costing[[#This Row],[Onboarding Factor]],"")</f>
        <v>172.55</v>
      </c>
      <c r="BU39" s="60">
        <f>IFERROR(Costing[[#This Row],[Onboarding Minutes]]/60,)</f>
        <v>2.8758333333333335</v>
      </c>
      <c r="BV39" s="60">
        <f t="shared" si="2"/>
        <v>79.92</v>
      </c>
      <c r="BW39" s="61">
        <f>IFERROR(VLOOKUP(Costing[[#This Row],[Onboarding Team]],Staff_Info[],4,0),"")</f>
        <v>50</v>
      </c>
      <c r="BX39" s="60">
        <f t="shared" si="3"/>
        <v>5.95</v>
      </c>
      <c r="BY39" s="55">
        <f>IFERROR(Costing[[#This Row],[Onboarding Hours]]/Costing[[#This Row],[Client Life Expectancy (Months)]]*Costing[[#This Row],[Onboarding Rate]],0)</f>
        <v>1.7991950283616949</v>
      </c>
      <c r="BZ39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12.465861695028361</v>
      </c>
      <c r="CA39" s="27"/>
      <c r="CB39" s="63">
        <f>IFERROR((Costing[[#This Row],[Current Sales Price]]-Costing[[#This Row],[Total  Cost excl. Software]])/Costing[[#This Row],[Current Sales Price]],)</f>
        <v>0</v>
      </c>
      <c r="CC39" s="64">
        <f>Costing[[#This Row],[Total  Cost excl. Software]]/(1-$CC$1)</f>
        <v>35.616747700081035</v>
      </c>
    </row>
    <row r="40" spans="1:81" x14ac:dyDescent="0.2">
      <c r="A40" s="11" t="s">
        <v>39</v>
      </c>
      <c r="B40" s="48" t="s">
        <v>145</v>
      </c>
      <c r="C40" s="17" t="s">
        <v>115</v>
      </c>
      <c r="D40" s="17" t="s">
        <v>154</v>
      </c>
      <c r="E40" s="17">
        <v>26</v>
      </c>
      <c r="F40" s="21">
        <f>IFERROR(Costing[[#This Row],[Minutes/Pay Run]]*Costing[[#This Row],[Payroll Factor]]/60,"")</f>
        <v>1.8777777777777775</v>
      </c>
      <c r="G40" s="54">
        <f>IFERROR(VLOOKUP(Costing[[#This Row],[Payroll Team]],Staff_Info[],4,0),"")</f>
        <v>10</v>
      </c>
      <c r="H40" s="21">
        <f>IFERROR(VLOOKUP(Costing[[#This Row],[Payroll Frequency]],Frequency[],2,0),"")</f>
        <v>4.333333333333333</v>
      </c>
      <c r="I40" s="55">
        <f>IFERROR(Costing[[#This Row],[Payroll Hours/Month]]*Costing[[#This Row],[Payroll Rate]],0)</f>
        <v>18.777777777777775</v>
      </c>
      <c r="J40" s="54" t="s">
        <v>176</v>
      </c>
      <c r="K40" s="11" t="s">
        <v>115</v>
      </c>
      <c r="L40" s="11" t="s">
        <v>157</v>
      </c>
      <c r="M40" s="11">
        <v>36</v>
      </c>
      <c r="N40" s="22">
        <f>IFERROR(Costing[[#This Row],[Minutes/Super]]*Costing[[#This Row],[Super Factor]]/60,"")</f>
        <v>0.2</v>
      </c>
      <c r="O40" s="23">
        <f>IFERROR(VLOOKUP(Costing[[#This Row],[Super Team]],Staff_Info[],4,0),"")</f>
        <v>10</v>
      </c>
      <c r="P40" s="22">
        <f>IFERROR(VLOOKUP(Costing[[#This Row],[Super Frequency]],Frequency[],2,0),"")</f>
        <v>0.33333333333333331</v>
      </c>
      <c r="Q40" s="55">
        <f>IFERROR(Costing[[#This Row],[Super Hours/Month]]*Costing[[#This Row],[Super Rate]],0)</f>
        <v>2</v>
      </c>
      <c r="R40" s="11" t="s">
        <v>177</v>
      </c>
      <c r="S40" s="11" t="s">
        <v>115</v>
      </c>
      <c r="T40" s="11" t="s">
        <v>183</v>
      </c>
      <c r="U40" s="11">
        <v>60</v>
      </c>
      <c r="V40" s="22">
        <f>IFERROR(Costing[[#This Row],[Minutes/Activity]]*Costing[[#This Row],[Bookkeeping Factor]]/60,"")</f>
        <v>1</v>
      </c>
      <c r="W40" s="23">
        <f>IFERROR(VLOOKUP(Costing[[#This Row],[Bookkeeping Team]],Staff_Info[],4,0),"")</f>
        <v>10</v>
      </c>
      <c r="X40" s="22">
        <f>IFERROR(VLOOKUP(Costing[[#This Row],[Bookkeeping Frequency]],Frequency[],2,0),"")</f>
        <v>1</v>
      </c>
      <c r="Y40" s="55">
        <f>IFERROR(Costing[[#This Row],[Bookkeeping Hours/Month]]*Costing[[#This Row],[Bookkeeping Rate]],0)</f>
        <v>10</v>
      </c>
      <c r="Z40" s="11" t="s">
        <v>178</v>
      </c>
      <c r="AA40" s="11" t="s">
        <v>126</v>
      </c>
      <c r="AB40" s="11" t="s">
        <v>183</v>
      </c>
      <c r="AC40" s="11">
        <v>60</v>
      </c>
      <c r="AD40" s="22">
        <f>IFERROR(Costing[[#This Row],[Minutes/Report]]*Costing[[#This Row],[Reporting Factor]]/60,"")</f>
        <v>1</v>
      </c>
      <c r="AE40" s="23">
        <f>IFERROR(VLOOKUP(Costing[[#This Row],[Reporting Team]],Staff_Info[],4,0),"")</f>
        <v>50</v>
      </c>
      <c r="AF40" s="22">
        <f>IFERROR(VLOOKUP(Costing[[#This Row],[Reporting Frequency]],Frequency[],2,0),"")</f>
        <v>1</v>
      </c>
      <c r="AG40" s="55">
        <f>IFERROR(Costing[[#This Row],[Reporting Hours/Month]]*Costing[[#This Row],[Reporting Rate]],0)</f>
        <v>50</v>
      </c>
      <c r="AH40" s="11" t="s">
        <v>179</v>
      </c>
      <c r="AI40" s="11" t="s">
        <v>115</v>
      </c>
      <c r="AJ40" s="11" t="s">
        <v>157</v>
      </c>
      <c r="AK40" s="11">
        <v>60</v>
      </c>
      <c r="AL40" s="22">
        <f>IFERROR(Costing[[#This Row],[Minutes/BAS 1]]*Costing[[#This Row],[BAS 1 Factor]]/60,"")</f>
        <v>0.33333333333333331</v>
      </c>
      <c r="AM40" s="23">
        <f>IFERROR(VLOOKUP(Costing[[#This Row],[BAS 1 Team]],Staff_Info[],4,0),"")</f>
        <v>10</v>
      </c>
      <c r="AN40" s="22">
        <f>IFERROR(VLOOKUP(Costing[[#This Row],[BAS 1 Frequency]],Frequency[],2,0),"")</f>
        <v>0.33333333333333331</v>
      </c>
      <c r="AO40" s="55">
        <f>IFERROR(Costing[[#This Row],[BAS 1 Hours/Month]]*Costing[[#This Row],[BAS 1 Rate]],0)</f>
        <v>3.333333333333333</v>
      </c>
      <c r="AP40" s="11" t="s">
        <v>180</v>
      </c>
      <c r="AQ40" s="11" t="s">
        <v>117</v>
      </c>
      <c r="AR40" s="11" t="s">
        <v>157</v>
      </c>
      <c r="AS40" s="11">
        <v>15</v>
      </c>
      <c r="AT40" s="22">
        <f>IFERROR(Costing[[#This Row],[Minutes/BAS 2]]*Costing[[#This Row],[BAS 2 Factor]]/60,"")</f>
        <v>8.3333333333333329E-2</v>
      </c>
      <c r="AU40" s="23">
        <f>IFERROR(VLOOKUP(Costing[[#This Row],[BAS 2 Team]],Staff_Info[],4,0),"")</f>
        <v>30</v>
      </c>
      <c r="AV40" s="22">
        <f>IFERROR(VLOOKUP(Costing[[#This Row],[BAS 2 Frequency]],Frequency[],2,0),"")</f>
        <v>0.33333333333333331</v>
      </c>
      <c r="AW40" s="55">
        <f>IFERROR(Costing[[#This Row],[BAS 2 Hours/Month]]*Costing[[#This Row],[BAS 2 Rate]],0)</f>
        <v>2.5</v>
      </c>
      <c r="AX40" s="11" t="s">
        <v>181</v>
      </c>
      <c r="AY40" s="11" t="s">
        <v>117</v>
      </c>
      <c r="AZ40" s="11" t="s">
        <v>183</v>
      </c>
      <c r="BA40" s="11">
        <v>30</v>
      </c>
      <c r="BB40" s="22">
        <f>IFERROR(Costing[[#This Row],[Minutes/IAS]]*Costing[[#This Row],[IAS Factor]]/60,"")</f>
        <v>0.5</v>
      </c>
      <c r="BC40" s="23">
        <f>IFERROR(VLOOKUP(Costing[[#This Row],[IAS Team]],Staff_Info[],4,0),"")</f>
        <v>30</v>
      </c>
      <c r="BD40" s="22">
        <f>IFERROR(VLOOKUP(Costing[[#This Row],[IAS Frequency]],Frequency[],2,0),"")</f>
        <v>1</v>
      </c>
      <c r="BE40" s="56">
        <f>IFERROR(Costing[[#This Row],[IAS Hours/Month]]*Costing[[#This Row],[IAS Rate]],0)</f>
        <v>15</v>
      </c>
      <c r="BF40" s="11" t="s">
        <v>182</v>
      </c>
      <c r="BG40" s="11" t="s">
        <v>126</v>
      </c>
      <c r="BH40" s="11">
        <v>120</v>
      </c>
      <c r="BI40" s="23">
        <f>IFERROR(VLOOKUP(Costing[[#This Row],[EOFY Team 1]],Staff_Info[],4,0),"")</f>
        <v>50</v>
      </c>
      <c r="BJ40" s="57">
        <f>Costing[[#This Row],[Time Min 1]]/12</f>
        <v>10</v>
      </c>
      <c r="BK40" s="11" t="s">
        <v>115</v>
      </c>
      <c r="BL40" s="11">
        <v>120</v>
      </c>
      <c r="BM40" s="23">
        <f>IFERROR(VLOOKUP(Costing[[#This Row],[EOFY Team 2]],Staff_Info[],4,0),"")</f>
        <v>10</v>
      </c>
      <c r="BN40" s="57">
        <f>Costing[[#This Row],[Time Min 2]]/12</f>
        <v>10</v>
      </c>
      <c r="BO40" s="55">
        <f>IFERROR((Costing[[#This Row],[EOFY 1 Min/Month]]/60*Costing[[#This Row],[EOFY Team 1 Rate]])+(Costing[[#This Row],[EOFY 2 Min/Month]]/60*Costing[[#This Row],[EOFY Team 2 Rate]]),0)</f>
        <v>9.9999999999999982</v>
      </c>
      <c r="BP40" s="11" t="s">
        <v>164</v>
      </c>
      <c r="BQ40" s="55">
        <f>IFERROR(VLOOKUP(Costing[[#This Row],[Software Name]],Software[],2,0),0)</f>
        <v>47.27</v>
      </c>
      <c r="BR40" s="59" t="s">
        <v>294</v>
      </c>
      <c r="BS40" s="11" t="s">
        <v>126</v>
      </c>
      <c r="BT40" s="60">
        <f>IF(Costing[[#This Row],[Minutes/Activity]]&gt;0,Costing[[#This Row],[Minutes/Activity]]*Costing[[#This Row],[Onboarding Factor]],"")</f>
        <v>357</v>
      </c>
      <c r="BU40" s="60">
        <f>IFERROR(Costing[[#This Row],[Onboarding Minutes]]/60,)</f>
        <v>5.95</v>
      </c>
      <c r="BV40" s="60">
        <f t="shared" si="2"/>
        <v>79.92</v>
      </c>
      <c r="BW40" s="61">
        <f>IFERROR(VLOOKUP(Costing[[#This Row],[Onboarding Team]],Staff_Info[],4,0),"")</f>
        <v>50</v>
      </c>
      <c r="BX40" s="60">
        <f t="shared" si="3"/>
        <v>5.95</v>
      </c>
      <c r="BY40" s="55">
        <f>IFERROR(Costing[[#This Row],[Onboarding Hours]]/Costing[[#This Row],[Client Life Expectancy (Months)]]*Costing[[#This Row],[Onboarding Rate]],0)</f>
        <v>3.7224724724724725</v>
      </c>
      <c r="BZ40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115.33358358358358</v>
      </c>
      <c r="CA40" s="27">
        <v>641.01</v>
      </c>
      <c r="CB40" s="63">
        <f>IFERROR((Costing[[#This Row],[Current Sales Price]]-Costing[[#This Row],[Total  Cost excl. Software]])/Costing[[#This Row],[Current Sales Price]],)</f>
        <v>0.82007521944496398</v>
      </c>
      <c r="CC40" s="64">
        <f>Costing[[#This Row],[Total  Cost excl. Software]]/(1-$CC$1)</f>
        <v>329.52452452452451</v>
      </c>
    </row>
    <row r="41" spans="1:81" x14ac:dyDescent="0.2">
      <c r="A41" s="11" t="s">
        <v>40</v>
      </c>
      <c r="B41" s="48"/>
      <c r="C41" s="17"/>
      <c r="D41" s="17"/>
      <c r="E41" s="17"/>
      <c r="F41" s="21" t="str">
        <f>IFERROR(Costing[[#This Row],[Minutes/Pay Run]]*Costing[[#This Row],[Payroll Factor]]/60,"")</f>
        <v/>
      </c>
      <c r="G41" s="54" t="str">
        <f>IFERROR(VLOOKUP(Costing[[#This Row],[Payroll Team]],Staff_Info[],4,0),"")</f>
        <v/>
      </c>
      <c r="H41" s="21" t="str">
        <f>IFERROR(VLOOKUP(Costing[[#This Row],[Payroll Frequency]],Frequency[],2,0),"")</f>
        <v/>
      </c>
      <c r="I41" s="55">
        <f>IFERROR(Costing[[#This Row],[Payroll Hours/Month]]*Costing[[#This Row],[Payroll Rate]],0)</f>
        <v>0</v>
      </c>
      <c r="J41" s="54"/>
      <c r="K41" s="11"/>
      <c r="L41" s="11"/>
      <c r="M41" s="11"/>
      <c r="N41" s="22" t="str">
        <f>IFERROR(Costing[[#This Row],[Minutes/Super]]*Costing[[#This Row],[Super Factor]]/60,"")</f>
        <v/>
      </c>
      <c r="O41" s="23" t="str">
        <f>IFERROR(VLOOKUP(Costing[[#This Row],[Super Team]],Staff_Info[],4,0),"")</f>
        <v/>
      </c>
      <c r="P41" s="22" t="str">
        <f>IFERROR(VLOOKUP(Costing[[#This Row],[Super Frequency]],Frequency[],2,0),"")</f>
        <v/>
      </c>
      <c r="Q41" s="55">
        <f>IFERROR(Costing[[#This Row],[Super Hours/Month]]*Costing[[#This Row],[Super Rate]],0)</f>
        <v>0</v>
      </c>
      <c r="R41" s="11" t="s">
        <v>177</v>
      </c>
      <c r="S41" s="11" t="s">
        <v>117</v>
      </c>
      <c r="T41" s="11" t="s">
        <v>183</v>
      </c>
      <c r="U41" s="11">
        <v>120</v>
      </c>
      <c r="V41" s="22">
        <f>IFERROR(Costing[[#This Row],[Minutes/Activity]]*Costing[[#This Row],[Bookkeeping Factor]]/60,"")</f>
        <v>2</v>
      </c>
      <c r="W41" s="23">
        <f>IFERROR(VLOOKUP(Costing[[#This Row],[Bookkeeping Team]],Staff_Info[],4,0),"")</f>
        <v>30</v>
      </c>
      <c r="X41" s="22">
        <f>IFERROR(VLOOKUP(Costing[[#This Row],[Bookkeeping Frequency]],Frequency[],2,0),"")</f>
        <v>1</v>
      </c>
      <c r="Y41" s="55">
        <f>IFERROR(Costing[[#This Row],[Bookkeeping Hours/Month]]*Costing[[#This Row],[Bookkeeping Rate]],0)</f>
        <v>60</v>
      </c>
      <c r="Z41" s="11" t="s">
        <v>178</v>
      </c>
      <c r="AA41" s="11" t="s">
        <v>119</v>
      </c>
      <c r="AB41" s="11" t="s">
        <v>183</v>
      </c>
      <c r="AC41" s="11">
        <v>15</v>
      </c>
      <c r="AD41" s="22">
        <f>IFERROR(Costing[[#This Row],[Minutes/Report]]*Costing[[#This Row],[Reporting Factor]]/60,"")</f>
        <v>0.25</v>
      </c>
      <c r="AE41" s="23">
        <f>IFERROR(VLOOKUP(Costing[[#This Row],[Reporting Team]],Staff_Info[],4,0),"")</f>
        <v>50</v>
      </c>
      <c r="AF41" s="22">
        <f>IFERROR(VLOOKUP(Costing[[#This Row],[Reporting Frequency]],Frequency[],2,0),"")</f>
        <v>1</v>
      </c>
      <c r="AG41" s="55">
        <f>IFERROR(Costing[[#This Row],[Reporting Hours/Month]]*Costing[[#This Row],[Reporting Rate]],0)</f>
        <v>12.5</v>
      </c>
      <c r="AH41" s="11" t="s">
        <v>179</v>
      </c>
      <c r="AI41" s="11" t="s">
        <v>117</v>
      </c>
      <c r="AJ41" s="11" t="s">
        <v>157</v>
      </c>
      <c r="AK41" s="11">
        <v>60</v>
      </c>
      <c r="AL41" s="22">
        <f>IFERROR(Costing[[#This Row],[Minutes/BAS 1]]*Costing[[#This Row],[BAS 1 Factor]]/60,"")</f>
        <v>0.33333333333333331</v>
      </c>
      <c r="AM41" s="23">
        <f>IFERROR(VLOOKUP(Costing[[#This Row],[BAS 1 Team]],Staff_Info[],4,0),"")</f>
        <v>30</v>
      </c>
      <c r="AN41" s="22">
        <f>IFERROR(VLOOKUP(Costing[[#This Row],[BAS 1 Frequency]],Frequency[],2,0),"")</f>
        <v>0.33333333333333331</v>
      </c>
      <c r="AO41" s="55">
        <f>IFERROR(Costing[[#This Row],[BAS 1 Hours/Month]]*Costing[[#This Row],[BAS 1 Rate]],0)</f>
        <v>10</v>
      </c>
      <c r="AP41" s="11" t="s">
        <v>180</v>
      </c>
      <c r="AQ41" s="11" t="s">
        <v>117</v>
      </c>
      <c r="AR41" s="11" t="s">
        <v>157</v>
      </c>
      <c r="AS41" s="11">
        <v>15</v>
      </c>
      <c r="AT41" s="22">
        <f>IFERROR(Costing[[#This Row],[Minutes/BAS 2]]*Costing[[#This Row],[BAS 2 Factor]]/60,"")</f>
        <v>8.3333333333333329E-2</v>
      </c>
      <c r="AU41" s="23">
        <f>IFERROR(VLOOKUP(Costing[[#This Row],[BAS 2 Team]],Staff_Info[],4,0),"")</f>
        <v>30</v>
      </c>
      <c r="AV41" s="22">
        <f>IFERROR(VLOOKUP(Costing[[#This Row],[BAS 2 Frequency]],Frequency[],2,0),"")</f>
        <v>0.33333333333333331</v>
      </c>
      <c r="AW41" s="55">
        <f>IFERROR(Costing[[#This Row],[BAS 2 Hours/Month]]*Costing[[#This Row],[BAS 2 Rate]],0)</f>
        <v>2.5</v>
      </c>
      <c r="AX41" s="11"/>
      <c r="AY41" s="11"/>
      <c r="AZ41" s="11"/>
      <c r="BA41" s="11"/>
      <c r="BB41" s="22" t="str">
        <f>IFERROR(Costing[[#This Row],[Minutes/IAS]]*Costing[[#This Row],[IAS Factor]]/60,"")</f>
        <v/>
      </c>
      <c r="BC41" s="23" t="str">
        <f>IFERROR(VLOOKUP(Costing[[#This Row],[IAS Team]],Staff_Info[],4,0),"")</f>
        <v/>
      </c>
      <c r="BD41" s="22" t="str">
        <f>IFERROR(VLOOKUP(Costing[[#This Row],[IAS Frequency]],Frequency[],2,0),"")</f>
        <v/>
      </c>
      <c r="BE41" s="56">
        <f>IFERROR(Costing[[#This Row],[IAS Hours/Month]]*Costing[[#This Row],[IAS Rate]],0)</f>
        <v>0</v>
      </c>
      <c r="BF41" s="11" t="s">
        <v>182</v>
      </c>
      <c r="BG41" s="11" t="s">
        <v>119</v>
      </c>
      <c r="BH41" s="11">
        <v>60</v>
      </c>
      <c r="BI41" s="23">
        <f>IFERROR(VLOOKUP(Costing[[#This Row],[EOFY Team 1]],Staff_Info[],4,0),"")</f>
        <v>50</v>
      </c>
      <c r="BJ41" s="57">
        <f>Costing[[#This Row],[Time Min 1]]/12</f>
        <v>5</v>
      </c>
      <c r="BK41" s="11" t="s">
        <v>117</v>
      </c>
      <c r="BL41" s="11">
        <v>60</v>
      </c>
      <c r="BM41" s="23">
        <f>IFERROR(VLOOKUP(Costing[[#This Row],[EOFY Team 2]],Staff_Info[],4,0),"")</f>
        <v>30</v>
      </c>
      <c r="BN41" s="57">
        <f>Costing[[#This Row],[Time Min 2]]/12</f>
        <v>5</v>
      </c>
      <c r="BO41" s="55">
        <f>IFERROR((Costing[[#This Row],[EOFY 1 Min/Month]]/60*Costing[[#This Row],[EOFY Team 1 Rate]])+(Costing[[#This Row],[EOFY 2 Min/Month]]/60*Costing[[#This Row],[EOFY Team 2 Rate]]),0)</f>
        <v>6.6666666666666661</v>
      </c>
      <c r="BP41" s="11" t="s">
        <v>173</v>
      </c>
      <c r="BQ41" s="55">
        <f>IFERROR(VLOOKUP(Costing[[#This Row],[Software Name]],Software[],2,0),0)</f>
        <v>18</v>
      </c>
      <c r="BR41" s="59" t="s">
        <v>294</v>
      </c>
      <c r="BS41" s="11" t="s">
        <v>119</v>
      </c>
      <c r="BT41" s="60">
        <f>IF(Costing[[#This Row],[Minutes/Activity]]&gt;0,Costing[[#This Row],[Minutes/Activity]]*Costing[[#This Row],[Onboarding Factor]],"")</f>
        <v>714</v>
      </c>
      <c r="BU41" s="60">
        <f>IFERROR(Costing[[#This Row],[Onboarding Minutes]]/60,)</f>
        <v>11.9</v>
      </c>
      <c r="BV41" s="60">
        <f t="shared" si="2"/>
        <v>79.92</v>
      </c>
      <c r="BW41" s="61">
        <f>IFERROR(VLOOKUP(Costing[[#This Row],[Onboarding Team]],Staff_Info[],4,0),"")</f>
        <v>50</v>
      </c>
      <c r="BX41" s="60">
        <f t="shared" si="3"/>
        <v>5.95</v>
      </c>
      <c r="BY41" s="55">
        <f>IFERROR(Costing[[#This Row],[Onboarding Hours]]/Costing[[#This Row],[Client Life Expectancy (Months)]]*Costing[[#This Row],[Onboarding Rate]],0)</f>
        <v>7.444944944944945</v>
      </c>
      <c r="BZ41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99.111611611611622</v>
      </c>
      <c r="CA41" s="27">
        <v>250</v>
      </c>
      <c r="CB41" s="63">
        <f>IFERROR((Costing[[#This Row],[Current Sales Price]]-Costing[[#This Row],[Total  Cost excl. Software]])/Costing[[#This Row],[Current Sales Price]],)</f>
        <v>0.60355355355355345</v>
      </c>
      <c r="CC41" s="64">
        <f>Costing[[#This Row],[Total  Cost excl. Software]]/(1-$CC$1)</f>
        <v>283.17603317603323</v>
      </c>
    </row>
    <row r="42" spans="1:81" x14ac:dyDescent="0.2">
      <c r="A42" s="11" t="s">
        <v>41</v>
      </c>
      <c r="B42" s="48"/>
      <c r="C42" s="17"/>
      <c r="D42" s="17"/>
      <c r="E42" s="17"/>
      <c r="F42" s="21" t="str">
        <f>IFERROR(Costing[[#This Row],[Minutes/Pay Run]]*Costing[[#This Row],[Payroll Factor]]/60,"")</f>
        <v/>
      </c>
      <c r="G42" s="54" t="str">
        <f>IFERROR(VLOOKUP(Costing[[#This Row],[Payroll Team]],Staff_Info[],4,0),"")</f>
        <v/>
      </c>
      <c r="H42" s="21" t="str">
        <f>IFERROR(VLOOKUP(Costing[[#This Row],[Payroll Frequency]],Frequency[],2,0),"")</f>
        <v/>
      </c>
      <c r="I42" s="55">
        <f>IFERROR(Costing[[#This Row],[Payroll Hours/Month]]*Costing[[#This Row],[Payroll Rate]],0)</f>
        <v>0</v>
      </c>
      <c r="J42" s="54"/>
      <c r="K42" s="11"/>
      <c r="L42" s="11"/>
      <c r="M42" s="11"/>
      <c r="N42" s="22" t="str">
        <f>IFERROR(Costing[[#This Row],[Minutes/Super]]*Costing[[#This Row],[Super Factor]]/60,"")</f>
        <v/>
      </c>
      <c r="O42" s="23" t="str">
        <f>IFERROR(VLOOKUP(Costing[[#This Row],[Super Team]],Staff_Info[],4,0),"")</f>
        <v/>
      </c>
      <c r="P42" s="22" t="str">
        <f>IFERROR(VLOOKUP(Costing[[#This Row],[Super Frequency]],Frequency[],2,0),"")</f>
        <v/>
      </c>
      <c r="Q42" s="55">
        <f>IFERROR(Costing[[#This Row],[Super Hours/Month]]*Costing[[#This Row],[Super Rate]],0)</f>
        <v>0</v>
      </c>
      <c r="R42" s="11" t="s">
        <v>177</v>
      </c>
      <c r="S42" s="11" t="s">
        <v>115</v>
      </c>
      <c r="T42" s="11" t="s">
        <v>183</v>
      </c>
      <c r="U42" s="11">
        <v>60</v>
      </c>
      <c r="V42" s="22">
        <f>IFERROR(Costing[[#This Row],[Minutes/Activity]]*Costing[[#This Row],[Bookkeeping Factor]]/60,"")</f>
        <v>1</v>
      </c>
      <c r="W42" s="23">
        <f>IFERROR(VLOOKUP(Costing[[#This Row],[Bookkeeping Team]],Staff_Info[],4,0),"")</f>
        <v>10</v>
      </c>
      <c r="X42" s="22">
        <f>IFERROR(VLOOKUP(Costing[[#This Row],[Bookkeeping Frequency]],Frequency[],2,0),"")</f>
        <v>1</v>
      </c>
      <c r="Y42" s="55">
        <f>IFERROR(Costing[[#This Row],[Bookkeeping Hours/Month]]*Costing[[#This Row],[Bookkeeping Rate]],0)</f>
        <v>10</v>
      </c>
      <c r="Z42" s="11" t="s">
        <v>178</v>
      </c>
      <c r="AA42" s="11" t="s">
        <v>126</v>
      </c>
      <c r="AB42" s="11" t="s">
        <v>183</v>
      </c>
      <c r="AC42" s="11">
        <v>15</v>
      </c>
      <c r="AD42" s="22">
        <f>IFERROR(Costing[[#This Row],[Minutes/Report]]*Costing[[#This Row],[Reporting Factor]]/60,"")</f>
        <v>0.25</v>
      </c>
      <c r="AE42" s="23">
        <f>IFERROR(VLOOKUP(Costing[[#This Row],[Reporting Team]],Staff_Info[],4,0),"")</f>
        <v>50</v>
      </c>
      <c r="AF42" s="22">
        <f>IFERROR(VLOOKUP(Costing[[#This Row],[Reporting Frequency]],Frequency[],2,0),"")</f>
        <v>1</v>
      </c>
      <c r="AG42" s="55">
        <f>IFERROR(Costing[[#This Row],[Reporting Hours/Month]]*Costing[[#This Row],[Reporting Rate]],0)</f>
        <v>12.5</v>
      </c>
      <c r="AH42" s="11" t="s">
        <v>179</v>
      </c>
      <c r="AI42" s="11" t="s">
        <v>115</v>
      </c>
      <c r="AJ42" s="11" t="s">
        <v>157</v>
      </c>
      <c r="AK42" s="11">
        <v>60</v>
      </c>
      <c r="AL42" s="22">
        <f>IFERROR(Costing[[#This Row],[Minutes/BAS 1]]*Costing[[#This Row],[BAS 1 Factor]]/60,"")</f>
        <v>0.33333333333333331</v>
      </c>
      <c r="AM42" s="23">
        <f>IFERROR(VLOOKUP(Costing[[#This Row],[BAS 1 Team]],Staff_Info[],4,0),"")</f>
        <v>10</v>
      </c>
      <c r="AN42" s="22">
        <f>IFERROR(VLOOKUP(Costing[[#This Row],[BAS 1 Frequency]],Frequency[],2,0),"")</f>
        <v>0.33333333333333331</v>
      </c>
      <c r="AO42" s="55">
        <f>IFERROR(Costing[[#This Row],[BAS 1 Hours/Month]]*Costing[[#This Row],[BAS 1 Rate]],0)</f>
        <v>3.333333333333333</v>
      </c>
      <c r="AP42" s="11" t="s">
        <v>180</v>
      </c>
      <c r="AQ42" s="11" t="s">
        <v>117</v>
      </c>
      <c r="AR42" s="11" t="s">
        <v>157</v>
      </c>
      <c r="AS42" s="11">
        <v>15</v>
      </c>
      <c r="AT42" s="22">
        <f>IFERROR(Costing[[#This Row],[Minutes/BAS 2]]*Costing[[#This Row],[BAS 2 Factor]]/60,"")</f>
        <v>8.3333333333333329E-2</v>
      </c>
      <c r="AU42" s="23">
        <f>IFERROR(VLOOKUP(Costing[[#This Row],[BAS 2 Team]],Staff_Info[],4,0),"")</f>
        <v>30</v>
      </c>
      <c r="AV42" s="22">
        <f>IFERROR(VLOOKUP(Costing[[#This Row],[BAS 2 Frequency]],Frequency[],2,0),"")</f>
        <v>0.33333333333333331</v>
      </c>
      <c r="AW42" s="55">
        <f>IFERROR(Costing[[#This Row],[BAS 2 Hours/Month]]*Costing[[#This Row],[BAS 2 Rate]],0)</f>
        <v>2.5</v>
      </c>
      <c r="AX42" s="11"/>
      <c r="AY42" s="11"/>
      <c r="AZ42" s="11"/>
      <c r="BA42" s="11"/>
      <c r="BB42" s="22" t="str">
        <f>IFERROR(Costing[[#This Row],[Minutes/IAS]]*Costing[[#This Row],[IAS Factor]]/60,"")</f>
        <v/>
      </c>
      <c r="BC42" s="23" t="str">
        <f>IFERROR(VLOOKUP(Costing[[#This Row],[IAS Team]],Staff_Info[],4,0),"")</f>
        <v/>
      </c>
      <c r="BD42" s="22" t="str">
        <f>IFERROR(VLOOKUP(Costing[[#This Row],[IAS Frequency]],Frequency[],2,0),"")</f>
        <v/>
      </c>
      <c r="BE42" s="56">
        <f>IFERROR(Costing[[#This Row],[IAS Hours/Month]]*Costing[[#This Row],[IAS Rate]],0)</f>
        <v>0</v>
      </c>
      <c r="BF42" s="11" t="s">
        <v>182</v>
      </c>
      <c r="BG42" s="11" t="s">
        <v>126</v>
      </c>
      <c r="BH42" s="11">
        <v>60</v>
      </c>
      <c r="BI42" s="23">
        <f>IFERROR(VLOOKUP(Costing[[#This Row],[EOFY Team 1]],Staff_Info[],4,0),"")</f>
        <v>50</v>
      </c>
      <c r="BJ42" s="57">
        <f>Costing[[#This Row],[Time Min 1]]/12</f>
        <v>5</v>
      </c>
      <c r="BK42" s="11" t="s">
        <v>115</v>
      </c>
      <c r="BL42" s="11">
        <v>60</v>
      </c>
      <c r="BM42" s="23">
        <f>IFERROR(VLOOKUP(Costing[[#This Row],[EOFY Team 2]],Staff_Info[],4,0),"")</f>
        <v>10</v>
      </c>
      <c r="BN42" s="57">
        <f>Costing[[#This Row],[Time Min 2]]/12</f>
        <v>5</v>
      </c>
      <c r="BO42" s="55">
        <f>IFERROR((Costing[[#This Row],[EOFY 1 Min/Month]]/60*Costing[[#This Row],[EOFY Team 1 Rate]])+(Costing[[#This Row],[EOFY 2 Min/Month]]/60*Costing[[#This Row],[EOFY Team 2 Rate]]),0)</f>
        <v>4.9999999999999991</v>
      </c>
      <c r="BP42" s="11"/>
      <c r="BQ42" s="55">
        <f>IFERROR(VLOOKUP(Costing[[#This Row],[Software Name]],Software[],2,0),0)</f>
        <v>0</v>
      </c>
      <c r="BR42" s="59" t="s">
        <v>294</v>
      </c>
      <c r="BS42" s="11" t="s">
        <v>126</v>
      </c>
      <c r="BT42" s="60">
        <f>IF(Costing[[#This Row],[Minutes/Activity]]&gt;0,Costing[[#This Row],[Minutes/Activity]]*Costing[[#This Row],[Onboarding Factor]],"")</f>
        <v>357</v>
      </c>
      <c r="BU42" s="60">
        <f>IFERROR(Costing[[#This Row],[Onboarding Minutes]]/60,)</f>
        <v>5.95</v>
      </c>
      <c r="BV42" s="60">
        <f t="shared" si="2"/>
        <v>79.92</v>
      </c>
      <c r="BW42" s="61">
        <f>IFERROR(VLOOKUP(Costing[[#This Row],[Onboarding Team]],Staff_Info[],4,0),"")</f>
        <v>50</v>
      </c>
      <c r="BX42" s="60">
        <f t="shared" si="3"/>
        <v>5.95</v>
      </c>
      <c r="BY42" s="55">
        <f>IFERROR(Costing[[#This Row],[Onboarding Hours]]/Costing[[#This Row],[Client Life Expectancy (Months)]]*Costing[[#This Row],[Onboarding Rate]],0)</f>
        <v>3.7224724724724725</v>
      </c>
      <c r="BZ42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37.055805805805804</v>
      </c>
      <c r="CA42" s="27">
        <v>40</v>
      </c>
      <c r="CB42" s="63">
        <f>IFERROR((Costing[[#This Row],[Current Sales Price]]-Costing[[#This Row],[Total  Cost excl. Software]])/Costing[[#This Row],[Current Sales Price]],)</f>
        <v>7.3604854854854906E-2</v>
      </c>
      <c r="CC42" s="64">
        <f>Costing[[#This Row],[Total  Cost excl. Software]]/(1-$CC$1)</f>
        <v>105.87373087373088</v>
      </c>
    </row>
    <row r="43" spans="1:81" x14ac:dyDescent="0.2">
      <c r="A43" s="11" t="s">
        <v>42</v>
      </c>
      <c r="B43" s="48" t="s">
        <v>145</v>
      </c>
      <c r="C43" s="17" t="s">
        <v>115</v>
      </c>
      <c r="D43" s="17" t="s">
        <v>155</v>
      </c>
      <c r="E43" s="17">
        <v>25</v>
      </c>
      <c r="F43" s="21">
        <f>IFERROR(Costing[[#This Row],[Minutes/Pay Run]]*Costing[[#This Row],[Payroll Factor]]/60,"")</f>
        <v>0.90277777777777779</v>
      </c>
      <c r="G43" s="54">
        <f>IFERROR(VLOOKUP(Costing[[#This Row],[Payroll Team]],Staff_Info[],4,0),"")</f>
        <v>10</v>
      </c>
      <c r="H43" s="21">
        <f>IFERROR(VLOOKUP(Costing[[#This Row],[Payroll Frequency]],Frequency[],2,0),"")</f>
        <v>2.1666666666666665</v>
      </c>
      <c r="I43" s="55">
        <f>IFERROR(Costing[[#This Row],[Payroll Hours/Month]]*Costing[[#This Row],[Payroll Rate]],0)</f>
        <v>9.0277777777777786</v>
      </c>
      <c r="J43" s="54" t="s">
        <v>176</v>
      </c>
      <c r="K43" s="11" t="s">
        <v>115</v>
      </c>
      <c r="L43" s="11" t="s">
        <v>157</v>
      </c>
      <c r="M43" s="11">
        <v>15</v>
      </c>
      <c r="N43" s="22">
        <f>IFERROR(Costing[[#This Row],[Minutes/Super]]*Costing[[#This Row],[Super Factor]]/60,"")</f>
        <v>8.3333333333333329E-2</v>
      </c>
      <c r="O43" s="23">
        <f>IFERROR(VLOOKUP(Costing[[#This Row],[Super Team]],Staff_Info[],4,0),"")</f>
        <v>10</v>
      </c>
      <c r="P43" s="22">
        <f>IFERROR(VLOOKUP(Costing[[#This Row],[Super Frequency]],Frequency[],2,0),"")</f>
        <v>0.33333333333333331</v>
      </c>
      <c r="Q43" s="55">
        <f>IFERROR(Costing[[#This Row],[Super Hours/Month]]*Costing[[#This Row],[Super Rate]],0)</f>
        <v>0.83333333333333326</v>
      </c>
      <c r="R43" s="11" t="s">
        <v>177</v>
      </c>
      <c r="S43" s="11" t="s">
        <v>115</v>
      </c>
      <c r="T43" s="11" t="s">
        <v>183</v>
      </c>
      <c r="U43" s="11">
        <v>150</v>
      </c>
      <c r="V43" s="22">
        <f>IFERROR(Costing[[#This Row],[Minutes/Activity]]*Costing[[#This Row],[Bookkeeping Factor]]/60,"")</f>
        <v>2.5</v>
      </c>
      <c r="W43" s="23">
        <f>IFERROR(VLOOKUP(Costing[[#This Row],[Bookkeeping Team]],Staff_Info[],4,0),"")</f>
        <v>10</v>
      </c>
      <c r="X43" s="22">
        <f>IFERROR(VLOOKUP(Costing[[#This Row],[Bookkeeping Frequency]],Frequency[],2,0),"")</f>
        <v>1</v>
      </c>
      <c r="Y43" s="55">
        <f>IFERROR(Costing[[#This Row],[Bookkeeping Hours/Month]]*Costing[[#This Row],[Bookkeeping Rate]],0)</f>
        <v>25</v>
      </c>
      <c r="Z43" s="11" t="s">
        <v>178</v>
      </c>
      <c r="AA43" s="11" t="s">
        <v>119</v>
      </c>
      <c r="AB43" s="11" t="s">
        <v>183</v>
      </c>
      <c r="AC43" s="11">
        <v>20</v>
      </c>
      <c r="AD43" s="22">
        <f>IFERROR(Costing[[#This Row],[Minutes/Report]]*Costing[[#This Row],[Reporting Factor]]/60,"")</f>
        <v>0.33333333333333331</v>
      </c>
      <c r="AE43" s="23">
        <f>IFERROR(VLOOKUP(Costing[[#This Row],[Reporting Team]],Staff_Info[],4,0),"")</f>
        <v>50</v>
      </c>
      <c r="AF43" s="22">
        <f>IFERROR(VLOOKUP(Costing[[#This Row],[Reporting Frequency]],Frequency[],2,0),"")</f>
        <v>1</v>
      </c>
      <c r="AG43" s="55">
        <f>IFERROR(Costing[[#This Row],[Reporting Hours/Month]]*Costing[[#This Row],[Reporting Rate]],0)</f>
        <v>16.666666666666664</v>
      </c>
      <c r="AH43" s="11" t="s">
        <v>179</v>
      </c>
      <c r="AI43" s="11" t="s">
        <v>115</v>
      </c>
      <c r="AJ43" s="11" t="s">
        <v>157</v>
      </c>
      <c r="AK43" s="11">
        <v>60</v>
      </c>
      <c r="AL43" s="22">
        <f>IFERROR(Costing[[#This Row],[Minutes/BAS 1]]*Costing[[#This Row],[BAS 1 Factor]]/60,"")</f>
        <v>0.33333333333333331</v>
      </c>
      <c r="AM43" s="23">
        <f>IFERROR(VLOOKUP(Costing[[#This Row],[BAS 1 Team]],Staff_Info[],4,0),"")</f>
        <v>10</v>
      </c>
      <c r="AN43" s="22">
        <f>IFERROR(VLOOKUP(Costing[[#This Row],[BAS 1 Frequency]],Frequency[],2,0),"")</f>
        <v>0.33333333333333331</v>
      </c>
      <c r="AO43" s="55">
        <f>IFERROR(Costing[[#This Row],[BAS 1 Hours/Month]]*Costing[[#This Row],[BAS 1 Rate]],0)</f>
        <v>3.333333333333333</v>
      </c>
      <c r="AP43" s="11" t="s">
        <v>180</v>
      </c>
      <c r="AQ43" s="11" t="s">
        <v>117</v>
      </c>
      <c r="AR43" s="11" t="s">
        <v>157</v>
      </c>
      <c r="AS43" s="11">
        <v>15</v>
      </c>
      <c r="AT43" s="22">
        <f>IFERROR(Costing[[#This Row],[Minutes/BAS 2]]*Costing[[#This Row],[BAS 2 Factor]]/60,"")</f>
        <v>8.3333333333333329E-2</v>
      </c>
      <c r="AU43" s="23">
        <f>IFERROR(VLOOKUP(Costing[[#This Row],[BAS 2 Team]],Staff_Info[],4,0),"")</f>
        <v>30</v>
      </c>
      <c r="AV43" s="22">
        <f>IFERROR(VLOOKUP(Costing[[#This Row],[BAS 2 Frequency]],Frequency[],2,0),"")</f>
        <v>0.33333333333333331</v>
      </c>
      <c r="AW43" s="55">
        <f>IFERROR(Costing[[#This Row],[BAS 2 Hours/Month]]*Costing[[#This Row],[BAS 2 Rate]],0)</f>
        <v>2.5</v>
      </c>
      <c r="AX43" s="11" t="s">
        <v>181</v>
      </c>
      <c r="AY43" s="11" t="s">
        <v>117</v>
      </c>
      <c r="AZ43" s="11" t="s">
        <v>183</v>
      </c>
      <c r="BA43" s="11">
        <v>30</v>
      </c>
      <c r="BB43" s="22">
        <f>IFERROR(Costing[[#This Row],[Minutes/IAS]]*Costing[[#This Row],[IAS Factor]]/60,"")</f>
        <v>0.5</v>
      </c>
      <c r="BC43" s="23">
        <f>IFERROR(VLOOKUP(Costing[[#This Row],[IAS Team]],Staff_Info[],4,0),"")</f>
        <v>30</v>
      </c>
      <c r="BD43" s="22">
        <f>IFERROR(VLOOKUP(Costing[[#This Row],[IAS Frequency]],Frequency[],2,0),"")</f>
        <v>1</v>
      </c>
      <c r="BE43" s="56">
        <f>IFERROR(Costing[[#This Row],[IAS Hours/Month]]*Costing[[#This Row],[IAS Rate]],0)</f>
        <v>15</v>
      </c>
      <c r="BF43" s="11" t="s">
        <v>182</v>
      </c>
      <c r="BG43" s="11" t="s">
        <v>119</v>
      </c>
      <c r="BH43" s="11">
        <v>120</v>
      </c>
      <c r="BI43" s="23">
        <f>IFERROR(VLOOKUP(Costing[[#This Row],[EOFY Team 1]],Staff_Info[],4,0),"")</f>
        <v>50</v>
      </c>
      <c r="BJ43" s="57">
        <f>Costing[[#This Row],[Time Min 1]]/12</f>
        <v>10</v>
      </c>
      <c r="BK43" s="11" t="s">
        <v>115</v>
      </c>
      <c r="BL43" s="11">
        <v>240</v>
      </c>
      <c r="BM43" s="23">
        <f>IFERROR(VLOOKUP(Costing[[#This Row],[EOFY Team 2]],Staff_Info[],4,0),"")</f>
        <v>10</v>
      </c>
      <c r="BN43" s="57">
        <f>Costing[[#This Row],[Time Min 2]]/12</f>
        <v>20</v>
      </c>
      <c r="BO43" s="55">
        <f>IFERROR((Costing[[#This Row],[EOFY 1 Min/Month]]/60*Costing[[#This Row],[EOFY Team 1 Rate]])+(Costing[[#This Row],[EOFY 2 Min/Month]]/60*Costing[[#This Row],[EOFY Team 2 Rate]]),0)</f>
        <v>11.666666666666664</v>
      </c>
      <c r="BP43" s="11" t="s">
        <v>171</v>
      </c>
      <c r="BQ43" s="55">
        <f>IFERROR(VLOOKUP(Costing[[#This Row],[Software Name]],Software[],2,0),0)</f>
        <v>18.190000000000001</v>
      </c>
      <c r="BR43" s="59" t="s">
        <v>294</v>
      </c>
      <c r="BS43" s="11" t="s">
        <v>119</v>
      </c>
      <c r="BT43" s="60">
        <f>IF(Costing[[#This Row],[Minutes/Activity]]&gt;0,Costing[[#This Row],[Minutes/Activity]]*Costing[[#This Row],[Onboarding Factor]],"")</f>
        <v>892.5</v>
      </c>
      <c r="BU43" s="60">
        <f>IFERROR(Costing[[#This Row],[Onboarding Minutes]]/60,)</f>
        <v>14.875</v>
      </c>
      <c r="BV43" s="60">
        <f t="shared" si="2"/>
        <v>79.92</v>
      </c>
      <c r="BW43" s="61">
        <f>IFERROR(VLOOKUP(Costing[[#This Row],[Onboarding Team]],Staff_Info[],4,0),"")</f>
        <v>50</v>
      </c>
      <c r="BX43" s="60">
        <f t="shared" si="3"/>
        <v>5.95</v>
      </c>
      <c r="BY43" s="55">
        <f>IFERROR(Costing[[#This Row],[Onboarding Hours]]/Costing[[#This Row],[Client Life Expectancy (Months)]]*Costing[[#This Row],[Onboarding Rate]],0)</f>
        <v>9.3061811811811808</v>
      </c>
      <c r="BZ43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93.333958958958959</v>
      </c>
      <c r="CA43" s="27">
        <v>375</v>
      </c>
      <c r="CB43" s="63">
        <f>IFERROR((Costing[[#This Row],[Current Sales Price]]-Costing[[#This Row],[Total  Cost excl. Software]])/Costing[[#This Row],[Current Sales Price]],)</f>
        <v>0.75110944277610936</v>
      </c>
      <c r="CC43" s="64">
        <f>Costing[[#This Row],[Total  Cost excl. Software]]/(1-$CC$1)</f>
        <v>266.66845416845416</v>
      </c>
    </row>
    <row r="44" spans="1:81" x14ac:dyDescent="0.2">
      <c r="A44" s="11" t="s">
        <v>44</v>
      </c>
      <c r="B44" s="48"/>
      <c r="C44" s="17"/>
      <c r="D44" s="17"/>
      <c r="E44" s="17"/>
      <c r="F44" s="21" t="str">
        <f>IFERROR(Costing[[#This Row],[Minutes/Pay Run]]*Costing[[#This Row],[Payroll Factor]]/60,"")</f>
        <v/>
      </c>
      <c r="G44" s="54" t="str">
        <f>IFERROR(VLOOKUP(Costing[[#This Row],[Payroll Team]],Staff_Info[],4,0),"")</f>
        <v/>
      </c>
      <c r="H44" s="21" t="str">
        <f>IFERROR(VLOOKUP(Costing[[#This Row],[Payroll Frequency]],Frequency[],2,0),"")</f>
        <v/>
      </c>
      <c r="I44" s="55">
        <f>IFERROR(Costing[[#This Row],[Payroll Hours/Month]]*Costing[[#This Row],[Payroll Rate]],0)</f>
        <v>0</v>
      </c>
      <c r="J44" s="54"/>
      <c r="K44" s="11"/>
      <c r="L44" s="11"/>
      <c r="M44" s="11"/>
      <c r="N44" s="22" t="str">
        <f>IFERROR(Costing[[#This Row],[Minutes/Super]]*Costing[[#This Row],[Super Factor]]/60,"")</f>
        <v/>
      </c>
      <c r="O44" s="23" t="str">
        <f>IFERROR(VLOOKUP(Costing[[#This Row],[Super Team]],Staff_Info[],4,0),"")</f>
        <v/>
      </c>
      <c r="P44" s="22" t="str">
        <f>IFERROR(VLOOKUP(Costing[[#This Row],[Super Frequency]],Frequency[],2,0),"")</f>
        <v/>
      </c>
      <c r="Q44" s="55">
        <f>IFERROR(Costing[[#This Row],[Super Hours/Month]]*Costing[[#This Row],[Super Rate]],0)</f>
        <v>0</v>
      </c>
      <c r="R44" s="11" t="s">
        <v>177</v>
      </c>
      <c r="S44" s="11" t="s">
        <v>117</v>
      </c>
      <c r="T44" s="11" t="s">
        <v>157</v>
      </c>
      <c r="U44" s="11">
        <v>100</v>
      </c>
      <c r="V44" s="22">
        <f>IFERROR(Costing[[#This Row],[Minutes/Activity]]*Costing[[#This Row],[Bookkeeping Factor]]/60,"")</f>
        <v>0.55555555555555547</v>
      </c>
      <c r="W44" s="23">
        <f>IFERROR(VLOOKUP(Costing[[#This Row],[Bookkeeping Team]],Staff_Info[],4,0),"")</f>
        <v>30</v>
      </c>
      <c r="X44" s="22">
        <f>IFERROR(VLOOKUP(Costing[[#This Row],[Bookkeeping Frequency]],Frequency[],2,0),"")</f>
        <v>0.33333333333333331</v>
      </c>
      <c r="Y44" s="55">
        <f>IFERROR(Costing[[#This Row],[Bookkeeping Hours/Month]]*Costing[[#This Row],[Bookkeeping Rate]],0)</f>
        <v>16.666666666666664</v>
      </c>
      <c r="Z44" s="11" t="s">
        <v>178</v>
      </c>
      <c r="AA44" s="11" t="s">
        <v>117</v>
      </c>
      <c r="AB44" s="11" t="s">
        <v>157</v>
      </c>
      <c r="AC44" s="11">
        <v>30</v>
      </c>
      <c r="AD44" s="22">
        <f>IFERROR(Costing[[#This Row],[Minutes/Report]]*Costing[[#This Row],[Reporting Factor]]/60,"")</f>
        <v>0.16666666666666666</v>
      </c>
      <c r="AE44" s="23">
        <f>IFERROR(VLOOKUP(Costing[[#This Row],[Reporting Team]],Staff_Info[],4,0),"")</f>
        <v>30</v>
      </c>
      <c r="AF44" s="22">
        <f>IFERROR(VLOOKUP(Costing[[#This Row],[Reporting Frequency]],Frequency[],2,0),"")</f>
        <v>0.33333333333333331</v>
      </c>
      <c r="AG44" s="55">
        <f>IFERROR(Costing[[#This Row],[Reporting Hours/Month]]*Costing[[#This Row],[Reporting Rate]],0)</f>
        <v>5</v>
      </c>
      <c r="AH44" s="11" t="s">
        <v>179</v>
      </c>
      <c r="AI44" s="11" t="s">
        <v>117</v>
      </c>
      <c r="AJ44" s="11" t="s">
        <v>157</v>
      </c>
      <c r="AK44" s="11">
        <v>60</v>
      </c>
      <c r="AL44" s="22">
        <f>IFERROR(Costing[[#This Row],[Minutes/BAS 1]]*Costing[[#This Row],[BAS 1 Factor]]/60,"")</f>
        <v>0.33333333333333331</v>
      </c>
      <c r="AM44" s="23">
        <f>IFERROR(VLOOKUP(Costing[[#This Row],[BAS 1 Team]],Staff_Info[],4,0),"")</f>
        <v>30</v>
      </c>
      <c r="AN44" s="22">
        <f>IFERROR(VLOOKUP(Costing[[#This Row],[BAS 1 Frequency]],Frequency[],2,0),"")</f>
        <v>0.33333333333333331</v>
      </c>
      <c r="AO44" s="55">
        <f>IFERROR(Costing[[#This Row],[BAS 1 Hours/Month]]*Costing[[#This Row],[BAS 1 Rate]],0)</f>
        <v>10</v>
      </c>
      <c r="AP44" s="11" t="s">
        <v>180</v>
      </c>
      <c r="AQ44" s="11" t="s">
        <v>117</v>
      </c>
      <c r="AR44" s="11" t="s">
        <v>157</v>
      </c>
      <c r="AS44" s="11">
        <v>15</v>
      </c>
      <c r="AT44" s="22">
        <f>IFERROR(Costing[[#This Row],[Minutes/BAS 2]]*Costing[[#This Row],[BAS 2 Factor]]/60,"")</f>
        <v>8.3333333333333329E-2</v>
      </c>
      <c r="AU44" s="23">
        <f>IFERROR(VLOOKUP(Costing[[#This Row],[BAS 2 Team]],Staff_Info[],4,0),"")</f>
        <v>30</v>
      </c>
      <c r="AV44" s="22">
        <f>IFERROR(VLOOKUP(Costing[[#This Row],[BAS 2 Frequency]],Frequency[],2,0),"")</f>
        <v>0.33333333333333331</v>
      </c>
      <c r="AW44" s="55">
        <f>IFERROR(Costing[[#This Row],[BAS 2 Hours/Month]]*Costing[[#This Row],[BAS 2 Rate]],0)</f>
        <v>2.5</v>
      </c>
      <c r="AX44" s="11"/>
      <c r="AY44" s="11"/>
      <c r="AZ44" s="11"/>
      <c r="BA44" s="11"/>
      <c r="BB44" s="22" t="str">
        <f>IFERROR(Costing[[#This Row],[Minutes/IAS]]*Costing[[#This Row],[IAS Factor]]/60,"")</f>
        <v/>
      </c>
      <c r="BC44" s="23" t="str">
        <f>IFERROR(VLOOKUP(Costing[[#This Row],[IAS Team]],Staff_Info[],4,0),"")</f>
        <v/>
      </c>
      <c r="BD44" s="22" t="str">
        <f>IFERROR(VLOOKUP(Costing[[#This Row],[IAS Frequency]],Frequency[],2,0),"")</f>
        <v/>
      </c>
      <c r="BE44" s="56">
        <f>IFERROR(Costing[[#This Row],[IAS Hours/Month]]*Costing[[#This Row],[IAS Rate]],0)</f>
        <v>0</v>
      </c>
      <c r="BF44" s="11" t="s">
        <v>182</v>
      </c>
      <c r="BG44" s="11" t="s">
        <v>119</v>
      </c>
      <c r="BH44" s="11">
        <v>120</v>
      </c>
      <c r="BI44" s="23">
        <f>IFERROR(VLOOKUP(Costing[[#This Row],[EOFY Team 1]],Staff_Info[],4,0),"")</f>
        <v>50</v>
      </c>
      <c r="BJ44" s="57">
        <f>Costing[[#This Row],[Time Min 1]]/12</f>
        <v>10</v>
      </c>
      <c r="BK44" s="11" t="s">
        <v>117</v>
      </c>
      <c r="BL44" s="11">
        <v>120</v>
      </c>
      <c r="BM44" s="23">
        <f>IFERROR(VLOOKUP(Costing[[#This Row],[EOFY Team 2]],Staff_Info[],4,0),"")</f>
        <v>30</v>
      </c>
      <c r="BN44" s="57">
        <f>Costing[[#This Row],[Time Min 2]]/12</f>
        <v>10</v>
      </c>
      <c r="BO44" s="55">
        <f>IFERROR((Costing[[#This Row],[EOFY 1 Min/Month]]/60*Costing[[#This Row],[EOFY Team 1 Rate]])+(Costing[[#This Row],[EOFY 2 Min/Month]]/60*Costing[[#This Row],[EOFY Team 2 Rate]]),0)</f>
        <v>13.333333333333332</v>
      </c>
      <c r="BP44" s="11" t="s">
        <v>163</v>
      </c>
      <c r="BQ44" s="55">
        <f>IFERROR(VLOOKUP(Costing[[#This Row],[Software Name]],Software[],2,0),0)</f>
        <v>36.36</v>
      </c>
      <c r="BR44" s="59" t="s">
        <v>294</v>
      </c>
      <c r="BS44" s="11" t="s">
        <v>126</v>
      </c>
      <c r="BT44" s="60">
        <f>IF(Costing[[#This Row],[Minutes/Activity]]&gt;0,Costing[[#This Row],[Minutes/Activity]]*Costing[[#This Row],[Onboarding Factor]],"")</f>
        <v>595</v>
      </c>
      <c r="BU44" s="60">
        <f>IFERROR(Costing[[#This Row],[Onboarding Minutes]]/60,)</f>
        <v>9.9166666666666661</v>
      </c>
      <c r="BV44" s="60">
        <f t="shared" si="2"/>
        <v>79.92</v>
      </c>
      <c r="BW44" s="61">
        <f>IFERROR(VLOOKUP(Costing[[#This Row],[Onboarding Team]],Staff_Info[],4,0),"")</f>
        <v>50</v>
      </c>
      <c r="BX44" s="60">
        <f t="shared" si="3"/>
        <v>5.95</v>
      </c>
      <c r="BY44" s="55">
        <f>IFERROR(Costing[[#This Row],[Onboarding Hours]]/Costing[[#This Row],[Client Life Expectancy (Months)]]*Costing[[#This Row],[Onboarding Rate]],0)</f>
        <v>6.2041207874541202</v>
      </c>
      <c r="BZ44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53.704120787454123</v>
      </c>
      <c r="CA44" s="27">
        <v>135</v>
      </c>
      <c r="CB44" s="63">
        <f>IFERROR((Costing[[#This Row],[Current Sales Price]]-Costing[[#This Row],[Total  Cost excl. Software]])/Costing[[#This Row],[Current Sales Price]],)</f>
        <v>0.60219169787071025</v>
      </c>
      <c r="CC44" s="64">
        <f>Costing[[#This Row],[Total  Cost excl. Software]]/(1-$CC$1)</f>
        <v>153.44034510701178</v>
      </c>
    </row>
    <row r="45" spans="1:81" x14ac:dyDescent="0.2">
      <c r="A45" s="11" t="s">
        <v>45</v>
      </c>
      <c r="B45" s="48"/>
      <c r="C45" s="17"/>
      <c r="D45" s="17"/>
      <c r="E45" s="17"/>
      <c r="F45" s="21" t="str">
        <f>IFERROR(Costing[[#This Row],[Minutes/Pay Run]]*Costing[[#This Row],[Payroll Factor]]/60,"")</f>
        <v/>
      </c>
      <c r="G45" s="54" t="str">
        <f>IFERROR(VLOOKUP(Costing[[#This Row],[Payroll Team]],Staff_Info[],4,0),"")</f>
        <v/>
      </c>
      <c r="H45" s="21" t="str">
        <f>IFERROR(VLOOKUP(Costing[[#This Row],[Payroll Frequency]],Frequency[],2,0),"")</f>
        <v/>
      </c>
      <c r="I45" s="55">
        <f>IFERROR(Costing[[#This Row],[Payroll Hours/Month]]*Costing[[#This Row],[Payroll Rate]],0)</f>
        <v>0</v>
      </c>
      <c r="J45" s="54"/>
      <c r="K45" s="11"/>
      <c r="L45" s="11"/>
      <c r="M45" s="11"/>
      <c r="N45" s="22" t="str">
        <f>IFERROR(Costing[[#This Row],[Minutes/Super]]*Costing[[#This Row],[Super Factor]]/60,"")</f>
        <v/>
      </c>
      <c r="O45" s="23" t="str">
        <f>IFERROR(VLOOKUP(Costing[[#This Row],[Super Team]],Staff_Info[],4,0),"")</f>
        <v/>
      </c>
      <c r="P45" s="22" t="str">
        <f>IFERROR(VLOOKUP(Costing[[#This Row],[Super Frequency]],Frequency[],2,0),"")</f>
        <v/>
      </c>
      <c r="Q45" s="55">
        <f>IFERROR(Costing[[#This Row],[Super Hours/Month]]*Costing[[#This Row],[Super Rate]],0)</f>
        <v>0</v>
      </c>
      <c r="R45" s="11" t="s">
        <v>177</v>
      </c>
      <c r="S45" s="11" t="s">
        <v>117</v>
      </c>
      <c r="T45" s="11" t="s">
        <v>157</v>
      </c>
      <c r="U45" s="11">
        <v>60</v>
      </c>
      <c r="V45" s="22">
        <f>IFERROR(Costing[[#This Row],[Minutes/Activity]]*Costing[[#This Row],[Bookkeeping Factor]]/60,"")</f>
        <v>0.33333333333333331</v>
      </c>
      <c r="W45" s="23">
        <f>IFERROR(VLOOKUP(Costing[[#This Row],[Bookkeeping Team]],Staff_Info[],4,0),"")</f>
        <v>30</v>
      </c>
      <c r="X45" s="22">
        <f>IFERROR(VLOOKUP(Costing[[#This Row],[Bookkeeping Frequency]],Frequency[],2,0),"")</f>
        <v>0.33333333333333331</v>
      </c>
      <c r="Y45" s="55">
        <f>IFERROR(Costing[[#This Row],[Bookkeeping Hours/Month]]*Costing[[#This Row],[Bookkeeping Rate]],0)</f>
        <v>10</v>
      </c>
      <c r="Z45" s="11"/>
      <c r="AA45" s="11"/>
      <c r="AB45" s="11"/>
      <c r="AC45" s="11"/>
      <c r="AD45" s="22" t="str">
        <f>IFERROR(Costing[[#This Row],[Minutes/Report]]*Costing[[#This Row],[Reporting Factor]]/60,"")</f>
        <v/>
      </c>
      <c r="AE45" s="23" t="str">
        <f>IFERROR(VLOOKUP(Costing[[#This Row],[Reporting Team]],Staff_Info[],4,0),"")</f>
        <v/>
      </c>
      <c r="AF45" s="22" t="str">
        <f>IFERROR(VLOOKUP(Costing[[#This Row],[Reporting Frequency]],Frequency[],2,0),"")</f>
        <v/>
      </c>
      <c r="AG45" s="55">
        <f>IFERROR(Costing[[#This Row],[Reporting Hours/Month]]*Costing[[#This Row],[Reporting Rate]],0)</f>
        <v>0</v>
      </c>
      <c r="AH45" s="11" t="s">
        <v>179</v>
      </c>
      <c r="AI45" s="11"/>
      <c r="AJ45" s="11"/>
      <c r="AK45" s="11"/>
      <c r="AL45" s="22" t="str">
        <f>IFERROR(Costing[[#This Row],[Minutes/BAS 1]]*Costing[[#This Row],[BAS 1 Factor]]/60,"")</f>
        <v/>
      </c>
      <c r="AM45" s="23" t="str">
        <f>IFERROR(VLOOKUP(Costing[[#This Row],[BAS 1 Team]],Staff_Info[],4,0),"")</f>
        <v/>
      </c>
      <c r="AN45" s="22" t="str">
        <f>IFERROR(VLOOKUP(Costing[[#This Row],[BAS 1 Frequency]],Frequency[],2,0),"")</f>
        <v/>
      </c>
      <c r="AO45" s="55">
        <f>IFERROR(Costing[[#This Row],[BAS 1 Hours/Month]]*Costing[[#This Row],[BAS 1 Rate]],0)</f>
        <v>0</v>
      </c>
      <c r="AP45" s="11"/>
      <c r="AQ45" s="11"/>
      <c r="AR45" s="11"/>
      <c r="AS45" s="11"/>
      <c r="AT45" s="22" t="str">
        <f>IFERROR(Costing[[#This Row],[Minutes/BAS 2]]*Costing[[#This Row],[BAS 2 Factor]]/60,"")</f>
        <v/>
      </c>
      <c r="AU45" s="23" t="str">
        <f>IFERROR(VLOOKUP(Costing[[#This Row],[BAS 2 Team]],Staff_Info[],4,0),"")</f>
        <v/>
      </c>
      <c r="AV45" s="22" t="str">
        <f>IFERROR(VLOOKUP(Costing[[#This Row],[BAS 2 Frequency]],Frequency[],2,0),"")</f>
        <v/>
      </c>
      <c r="AW45" s="55">
        <f>IFERROR(Costing[[#This Row],[BAS 2 Hours/Month]]*Costing[[#This Row],[BAS 2 Rate]],0)</f>
        <v>0</v>
      </c>
      <c r="AX45" s="11"/>
      <c r="AY45" s="11"/>
      <c r="AZ45" s="11"/>
      <c r="BA45" s="11"/>
      <c r="BB45" s="22" t="str">
        <f>IFERROR(Costing[[#This Row],[Minutes/IAS]]*Costing[[#This Row],[IAS Factor]]/60,"")</f>
        <v/>
      </c>
      <c r="BC45" s="23" t="str">
        <f>IFERROR(VLOOKUP(Costing[[#This Row],[IAS Team]],Staff_Info[],4,0),"")</f>
        <v/>
      </c>
      <c r="BD45" s="22" t="str">
        <f>IFERROR(VLOOKUP(Costing[[#This Row],[IAS Frequency]],Frequency[],2,0),"")</f>
        <v/>
      </c>
      <c r="BE45" s="56">
        <f>IFERROR(Costing[[#This Row],[IAS Hours/Month]]*Costing[[#This Row],[IAS Rate]],0)</f>
        <v>0</v>
      </c>
      <c r="BF45" s="11" t="s">
        <v>182</v>
      </c>
      <c r="BG45" s="11" t="s">
        <v>119</v>
      </c>
      <c r="BH45" s="11">
        <v>60</v>
      </c>
      <c r="BI45" s="23">
        <f>IFERROR(VLOOKUP(Costing[[#This Row],[EOFY Team 1]],Staff_Info[],4,0),"")</f>
        <v>50</v>
      </c>
      <c r="BJ45" s="57">
        <f>Costing[[#This Row],[Time Min 1]]/12</f>
        <v>5</v>
      </c>
      <c r="BK45" s="11" t="s">
        <v>117</v>
      </c>
      <c r="BL45" s="11">
        <v>60</v>
      </c>
      <c r="BM45" s="23">
        <f>IFERROR(VLOOKUP(Costing[[#This Row],[EOFY Team 2]],Staff_Info[],4,0),"")</f>
        <v>30</v>
      </c>
      <c r="BN45" s="57">
        <f>Costing[[#This Row],[Time Min 2]]/12</f>
        <v>5</v>
      </c>
      <c r="BO45" s="55">
        <f>IFERROR((Costing[[#This Row],[EOFY 1 Min/Month]]/60*Costing[[#This Row],[EOFY Team 1 Rate]])+(Costing[[#This Row],[EOFY 2 Min/Month]]/60*Costing[[#This Row],[EOFY Team 2 Rate]]),0)</f>
        <v>6.6666666666666661</v>
      </c>
      <c r="BP45" s="11" t="s">
        <v>160</v>
      </c>
      <c r="BQ45" s="55">
        <f>IFERROR(VLOOKUP(Costing[[#This Row],[Software Name]],Software[],2,0),0)</f>
        <v>9.09</v>
      </c>
      <c r="BR45" s="59" t="s">
        <v>294</v>
      </c>
      <c r="BS45" s="11" t="s">
        <v>119</v>
      </c>
      <c r="BT45" s="60">
        <f>IF(Costing[[#This Row],[Minutes/Activity]]&gt;0,Costing[[#This Row],[Minutes/Activity]]*Costing[[#This Row],[Onboarding Factor]],"")</f>
        <v>357</v>
      </c>
      <c r="BU45" s="60">
        <f>IFERROR(Costing[[#This Row],[Onboarding Minutes]]/60,)</f>
        <v>5.95</v>
      </c>
      <c r="BV45" s="60">
        <f t="shared" si="2"/>
        <v>79.92</v>
      </c>
      <c r="BW45" s="61">
        <f>IFERROR(VLOOKUP(Costing[[#This Row],[Onboarding Team]],Staff_Info[],4,0),"")</f>
        <v>50</v>
      </c>
      <c r="BX45" s="60">
        <f t="shared" si="3"/>
        <v>5.95</v>
      </c>
      <c r="BY45" s="55">
        <f>IFERROR(Costing[[#This Row],[Onboarding Hours]]/Costing[[#This Row],[Client Life Expectancy (Months)]]*Costing[[#This Row],[Onboarding Rate]],0)</f>
        <v>3.7224724724724725</v>
      </c>
      <c r="BZ45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20.389139139139136</v>
      </c>
      <c r="CA45" s="27">
        <v>50</v>
      </c>
      <c r="CB45" s="63">
        <f>IFERROR((Costing[[#This Row],[Current Sales Price]]-Costing[[#This Row],[Total  Cost excl. Software]])/Costing[[#This Row],[Current Sales Price]],)</f>
        <v>0.59221721721721732</v>
      </c>
      <c r="CC45" s="64">
        <f>Costing[[#This Row],[Total  Cost excl. Software]]/(1-$CC$1)</f>
        <v>58.25468325468325</v>
      </c>
    </row>
    <row r="46" spans="1:81" x14ac:dyDescent="0.2">
      <c r="A46" s="11" t="s">
        <v>46</v>
      </c>
      <c r="B46" s="48"/>
      <c r="C46" s="17"/>
      <c r="D46" s="17"/>
      <c r="E46" s="17"/>
      <c r="F46" s="21" t="str">
        <f>IFERROR(Costing[[#This Row],[Minutes/Pay Run]]*Costing[[#This Row],[Payroll Factor]]/60,"")</f>
        <v/>
      </c>
      <c r="G46" s="54" t="str">
        <f>IFERROR(VLOOKUP(Costing[[#This Row],[Payroll Team]],Staff_Info[],4,0),"")</f>
        <v/>
      </c>
      <c r="H46" s="21" t="str">
        <f>IFERROR(VLOOKUP(Costing[[#This Row],[Payroll Frequency]],Frequency[],2,0),"")</f>
        <v/>
      </c>
      <c r="I46" s="55">
        <f>IFERROR(Costing[[#This Row],[Payroll Hours/Month]]*Costing[[#This Row],[Payroll Rate]],0)</f>
        <v>0</v>
      </c>
      <c r="J46" s="54"/>
      <c r="K46" s="11"/>
      <c r="L46" s="11"/>
      <c r="M46" s="11"/>
      <c r="N46" s="22" t="str">
        <f>IFERROR(Costing[[#This Row],[Minutes/Super]]*Costing[[#This Row],[Super Factor]]/60,"")</f>
        <v/>
      </c>
      <c r="O46" s="23" t="str">
        <f>IFERROR(VLOOKUP(Costing[[#This Row],[Super Team]],Staff_Info[],4,0),"")</f>
        <v/>
      </c>
      <c r="P46" s="22" t="str">
        <f>IFERROR(VLOOKUP(Costing[[#This Row],[Super Frequency]],Frequency[],2,0),"")</f>
        <v/>
      </c>
      <c r="Q46" s="55">
        <f>IFERROR(Costing[[#This Row],[Super Hours/Month]]*Costing[[#This Row],[Super Rate]],0)</f>
        <v>0</v>
      </c>
      <c r="R46" s="11" t="s">
        <v>177</v>
      </c>
      <c r="S46" s="11" t="s">
        <v>117</v>
      </c>
      <c r="T46" s="11" t="s">
        <v>157</v>
      </c>
      <c r="U46" s="11">
        <v>120</v>
      </c>
      <c r="V46" s="22">
        <f>IFERROR(Costing[[#This Row],[Minutes/Activity]]*Costing[[#This Row],[Bookkeeping Factor]]/60,"")</f>
        <v>0.66666666666666663</v>
      </c>
      <c r="W46" s="23">
        <f>IFERROR(VLOOKUP(Costing[[#This Row],[Bookkeeping Team]],Staff_Info[],4,0),"")</f>
        <v>30</v>
      </c>
      <c r="X46" s="22">
        <f>IFERROR(VLOOKUP(Costing[[#This Row],[Bookkeeping Frequency]],Frequency[],2,0),"")</f>
        <v>0.33333333333333331</v>
      </c>
      <c r="Y46" s="55">
        <f>IFERROR(Costing[[#This Row],[Bookkeeping Hours/Month]]*Costing[[#This Row],[Bookkeeping Rate]],0)</f>
        <v>20</v>
      </c>
      <c r="Z46" s="11" t="s">
        <v>178</v>
      </c>
      <c r="AA46" s="11" t="s">
        <v>117</v>
      </c>
      <c r="AB46" s="11" t="s">
        <v>157</v>
      </c>
      <c r="AC46" s="11">
        <v>30</v>
      </c>
      <c r="AD46" s="22">
        <f>IFERROR(Costing[[#This Row],[Minutes/Report]]*Costing[[#This Row],[Reporting Factor]]/60,"")</f>
        <v>0.16666666666666666</v>
      </c>
      <c r="AE46" s="23">
        <f>IFERROR(VLOOKUP(Costing[[#This Row],[Reporting Team]],Staff_Info[],4,0),"")</f>
        <v>30</v>
      </c>
      <c r="AF46" s="22">
        <f>IFERROR(VLOOKUP(Costing[[#This Row],[Reporting Frequency]],Frequency[],2,0),"")</f>
        <v>0.33333333333333331</v>
      </c>
      <c r="AG46" s="55">
        <f>IFERROR(Costing[[#This Row],[Reporting Hours/Month]]*Costing[[#This Row],[Reporting Rate]],0)</f>
        <v>5</v>
      </c>
      <c r="AH46" s="11" t="s">
        <v>179</v>
      </c>
      <c r="AI46" s="11" t="s">
        <v>117</v>
      </c>
      <c r="AJ46" s="11" t="s">
        <v>157</v>
      </c>
      <c r="AK46" s="11">
        <v>60</v>
      </c>
      <c r="AL46" s="22">
        <f>IFERROR(Costing[[#This Row],[Minutes/BAS 1]]*Costing[[#This Row],[BAS 1 Factor]]/60,"")</f>
        <v>0.33333333333333331</v>
      </c>
      <c r="AM46" s="23">
        <f>IFERROR(VLOOKUP(Costing[[#This Row],[BAS 1 Team]],Staff_Info[],4,0),"")</f>
        <v>30</v>
      </c>
      <c r="AN46" s="22">
        <f>IFERROR(VLOOKUP(Costing[[#This Row],[BAS 1 Frequency]],Frequency[],2,0),"")</f>
        <v>0.33333333333333331</v>
      </c>
      <c r="AO46" s="55">
        <f>IFERROR(Costing[[#This Row],[BAS 1 Hours/Month]]*Costing[[#This Row],[BAS 1 Rate]],0)</f>
        <v>10</v>
      </c>
      <c r="AP46" s="11" t="s">
        <v>180</v>
      </c>
      <c r="AQ46" s="11" t="s">
        <v>117</v>
      </c>
      <c r="AR46" s="11" t="s">
        <v>157</v>
      </c>
      <c r="AS46" s="11">
        <v>15</v>
      </c>
      <c r="AT46" s="22">
        <f>IFERROR(Costing[[#This Row],[Minutes/BAS 2]]*Costing[[#This Row],[BAS 2 Factor]]/60,"")</f>
        <v>8.3333333333333329E-2</v>
      </c>
      <c r="AU46" s="23">
        <f>IFERROR(VLOOKUP(Costing[[#This Row],[BAS 2 Team]],Staff_Info[],4,0),"")</f>
        <v>30</v>
      </c>
      <c r="AV46" s="22">
        <f>IFERROR(VLOOKUP(Costing[[#This Row],[BAS 2 Frequency]],Frequency[],2,0),"")</f>
        <v>0.33333333333333331</v>
      </c>
      <c r="AW46" s="55">
        <f>IFERROR(Costing[[#This Row],[BAS 2 Hours/Month]]*Costing[[#This Row],[BAS 2 Rate]],0)</f>
        <v>2.5</v>
      </c>
      <c r="AX46" s="11"/>
      <c r="AY46" s="11"/>
      <c r="AZ46" s="11"/>
      <c r="BA46" s="11"/>
      <c r="BB46" s="22" t="str">
        <f>IFERROR(Costing[[#This Row],[Minutes/IAS]]*Costing[[#This Row],[IAS Factor]]/60,"")</f>
        <v/>
      </c>
      <c r="BC46" s="23" t="str">
        <f>IFERROR(VLOOKUP(Costing[[#This Row],[IAS Team]],Staff_Info[],4,0),"")</f>
        <v/>
      </c>
      <c r="BD46" s="22" t="str">
        <f>IFERROR(VLOOKUP(Costing[[#This Row],[IAS Frequency]],Frequency[],2,0),"")</f>
        <v/>
      </c>
      <c r="BE46" s="56">
        <f>IFERROR(Costing[[#This Row],[IAS Hours/Month]]*Costing[[#This Row],[IAS Rate]],0)</f>
        <v>0</v>
      </c>
      <c r="BF46" s="11" t="s">
        <v>182</v>
      </c>
      <c r="BG46" s="11" t="s">
        <v>117</v>
      </c>
      <c r="BH46" s="11">
        <v>60</v>
      </c>
      <c r="BI46" s="23">
        <f>IFERROR(VLOOKUP(Costing[[#This Row],[EOFY Team 1]],Staff_Info[],4,0),"")</f>
        <v>30</v>
      </c>
      <c r="BJ46" s="57">
        <f>Costing[[#This Row],[Time Min 1]]/12</f>
        <v>5</v>
      </c>
      <c r="BK46" s="11" t="s">
        <v>119</v>
      </c>
      <c r="BL46" s="11">
        <v>120</v>
      </c>
      <c r="BM46" s="23">
        <f>IFERROR(VLOOKUP(Costing[[#This Row],[EOFY Team 2]],Staff_Info[],4,0),"")</f>
        <v>50</v>
      </c>
      <c r="BN46" s="57">
        <f>Costing[[#This Row],[Time Min 2]]/12</f>
        <v>10</v>
      </c>
      <c r="BO46" s="55">
        <f>IFERROR((Costing[[#This Row],[EOFY 1 Min/Month]]/60*Costing[[#This Row],[EOFY Team 1 Rate]])+(Costing[[#This Row],[EOFY 2 Min/Month]]/60*Costing[[#This Row],[EOFY Team 2 Rate]]),0)</f>
        <v>10.833333333333332</v>
      </c>
      <c r="BP46" s="11" t="s">
        <v>171</v>
      </c>
      <c r="BQ46" s="55">
        <f>IFERROR(VLOOKUP(Costing[[#This Row],[Software Name]],Software[],2,0),0)</f>
        <v>18.190000000000001</v>
      </c>
      <c r="BR46" s="59" t="s">
        <v>294</v>
      </c>
      <c r="BS46" s="11" t="s">
        <v>126</v>
      </c>
      <c r="BT46" s="60">
        <f>IF(Costing[[#This Row],[Minutes/Activity]]&gt;0,Costing[[#This Row],[Minutes/Activity]]*Costing[[#This Row],[Onboarding Factor]],"")</f>
        <v>714</v>
      </c>
      <c r="BU46" s="60">
        <f>IFERROR(Costing[[#This Row],[Onboarding Minutes]]/60,)</f>
        <v>11.9</v>
      </c>
      <c r="BV46" s="60">
        <f t="shared" si="2"/>
        <v>79.92</v>
      </c>
      <c r="BW46" s="61">
        <f>IFERROR(VLOOKUP(Costing[[#This Row],[Onboarding Team]],Staff_Info[],4,0),"")</f>
        <v>50</v>
      </c>
      <c r="BX46" s="60">
        <f t="shared" si="3"/>
        <v>5.95</v>
      </c>
      <c r="BY46" s="55">
        <f>IFERROR(Costing[[#This Row],[Onboarding Hours]]/Costing[[#This Row],[Client Life Expectancy (Months)]]*Costing[[#This Row],[Onboarding Rate]],0)</f>
        <v>7.444944944944945</v>
      </c>
      <c r="BZ46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55.778278278278272</v>
      </c>
      <c r="CA46" s="27">
        <v>100</v>
      </c>
      <c r="CB46" s="63">
        <f>IFERROR((Costing[[#This Row],[Current Sales Price]]-Costing[[#This Row],[Total  Cost excl. Software]])/Costing[[#This Row],[Current Sales Price]],)</f>
        <v>0.4422172172172173</v>
      </c>
      <c r="CC46" s="64">
        <f>Costing[[#This Row],[Total  Cost excl. Software]]/(1-$CC$1)</f>
        <v>159.36650936650935</v>
      </c>
    </row>
    <row r="47" spans="1:81" x14ac:dyDescent="0.2">
      <c r="A47" s="11" t="s">
        <v>47</v>
      </c>
      <c r="B47" s="48" t="s">
        <v>145</v>
      </c>
      <c r="C47" s="17" t="s">
        <v>115</v>
      </c>
      <c r="D47" s="17" t="s">
        <v>154</v>
      </c>
      <c r="E47" s="17">
        <v>40</v>
      </c>
      <c r="F47" s="21">
        <f>IFERROR(Costing[[#This Row],[Minutes/Pay Run]]*Costing[[#This Row],[Payroll Factor]]/60,"")</f>
        <v>2.8888888888888884</v>
      </c>
      <c r="G47" s="54">
        <f>IFERROR(VLOOKUP(Costing[[#This Row],[Payroll Team]],Staff_Info[],4,0),"")</f>
        <v>10</v>
      </c>
      <c r="H47" s="21">
        <f>IFERROR(VLOOKUP(Costing[[#This Row],[Payroll Frequency]],Frequency[],2,0),"")</f>
        <v>4.333333333333333</v>
      </c>
      <c r="I47" s="55">
        <f>IFERROR(Costing[[#This Row],[Payroll Hours/Month]]*Costing[[#This Row],[Payroll Rate]],0)</f>
        <v>28.888888888888886</v>
      </c>
      <c r="J47" s="54"/>
      <c r="K47" s="11"/>
      <c r="L47" s="11"/>
      <c r="M47" s="11"/>
      <c r="N47" s="22" t="str">
        <f>IFERROR(Costing[[#This Row],[Minutes/Super]]*Costing[[#This Row],[Super Factor]]/60,"")</f>
        <v/>
      </c>
      <c r="O47" s="23" t="str">
        <f>IFERROR(VLOOKUP(Costing[[#This Row],[Super Team]],Staff_Info[],4,0),"")</f>
        <v/>
      </c>
      <c r="P47" s="22" t="str">
        <f>IFERROR(VLOOKUP(Costing[[#This Row],[Super Frequency]],Frequency[],2,0),"")</f>
        <v/>
      </c>
      <c r="Q47" s="55">
        <f>IFERROR(Costing[[#This Row],[Super Hours/Month]]*Costing[[#This Row],[Super Rate]],0)</f>
        <v>0</v>
      </c>
      <c r="R47" s="11"/>
      <c r="S47" s="11"/>
      <c r="T47" s="11"/>
      <c r="U47" s="11"/>
      <c r="V47" s="22" t="str">
        <f>IFERROR(Costing[[#This Row],[Minutes/Activity]]*Costing[[#This Row],[Bookkeeping Factor]]/60,"")</f>
        <v/>
      </c>
      <c r="W47" s="23" t="str">
        <f>IFERROR(VLOOKUP(Costing[[#This Row],[Bookkeeping Team]],Staff_Info[],4,0),"")</f>
        <v/>
      </c>
      <c r="X47" s="22" t="str">
        <f>IFERROR(VLOOKUP(Costing[[#This Row],[Bookkeeping Frequency]],Frequency[],2,0),"")</f>
        <v/>
      </c>
      <c r="Y47" s="55">
        <f>IFERROR(Costing[[#This Row],[Bookkeeping Hours/Month]]*Costing[[#This Row],[Bookkeeping Rate]],0)</f>
        <v>0</v>
      </c>
      <c r="Z47" s="11"/>
      <c r="AA47" s="11"/>
      <c r="AB47" s="11"/>
      <c r="AC47" s="11"/>
      <c r="AD47" s="22" t="str">
        <f>IFERROR(Costing[[#This Row],[Minutes/Report]]*Costing[[#This Row],[Reporting Factor]]/60,"")</f>
        <v/>
      </c>
      <c r="AE47" s="23" t="str">
        <f>IFERROR(VLOOKUP(Costing[[#This Row],[Reporting Team]],Staff_Info[],4,0),"")</f>
        <v/>
      </c>
      <c r="AF47" s="22" t="str">
        <f>IFERROR(VLOOKUP(Costing[[#This Row],[Reporting Frequency]],Frequency[],2,0),"")</f>
        <v/>
      </c>
      <c r="AG47" s="55">
        <f>IFERROR(Costing[[#This Row],[Reporting Hours/Month]]*Costing[[#This Row],[Reporting Rate]],0)</f>
        <v>0</v>
      </c>
      <c r="AH47" s="11" t="s">
        <v>179</v>
      </c>
      <c r="AI47" s="11" t="s">
        <v>115</v>
      </c>
      <c r="AJ47" s="11" t="s">
        <v>157</v>
      </c>
      <c r="AK47" s="11">
        <v>60</v>
      </c>
      <c r="AL47" s="22">
        <f>IFERROR(Costing[[#This Row],[Minutes/BAS 1]]*Costing[[#This Row],[BAS 1 Factor]]/60,"")</f>
        <v>0.33333333333333331</v>
      </c>
      <c r="AM47" s="23">
        <f>IFERROR(VLOOKUP(Costing[[#This Row],[BAS 1 Team]],Staff_Info[],4,0),"")</f>
        <v>10</v>
      </c>
      <c r="AN47" s="22">
        <f>IFERROR(VLOOKUP(Costing[[#This Row],[BAS 1 Frequency]],Frequency[],2,0),"")</f>
        <v>0.33333333333333331</v>
      </c>
      <c r="AO47" s="55">
        <f>IFERROR(Costing[[#This Row],[BAS 1 Hours/Month]]*Costing[[#This Row],[BAS 1 Rate]],0)</f>
        <v>3.333333333333333</v>
      </c>
      <c r="AP47" s="11" t="s">
        <v>180</v>
      </c>
      <c r="AQ47" s="11" t="s">
        <v>117</v>
      </c>
      <c r="AR47" s="11" t="s">
        <v>157</v>
      </c>
      <c r="AS47" s="11">
        <v>15</v>
      </c>
      <c r="AT47" s="22">
        <f>IFERROR(Costing[[#This Row],[Minutes/BAS 2]]*Costing[[#This Row],[BAS 2 Factor]]/60,"")</f>
        <v>8.3333333333333329E-2</v>
      </c>
      <c r="AU47" s="23">
        <f>IFERROR(VLOOKUP(Costing[[#This Row],[BAS 2 Team]],Staff_Info[],4,0),"")</f>
        <v>30</v>
      </c>
      <c r="AV47" s="22">
        <f>IFERROR(VLOOKUP(Costing[[#This Row],[BAS 2 Frequency]],Frequency[],2,0),"")</f>
        <v>0.33333333333333331</v>
      </c>
      <c r="AW47" s="55">
        <f>IFERROR(Costing[[#This Row],[BAS 2 Hours/Month]]*Costing[[#This Row],[BAS 2 Rate]],0)</f>
        <v>2.5</v>
      </c>
      <c r="AX47" s="11" t="s">
        <v>181</v>
      </c>
      <c r="AY47" s="11" t="s">
        <v>117</v>
      </c>
      <c r="AZ47" s="11" t="s">
        <v>183</v>
      </c>
      <c r="BA47" s="11">
        <v>30</v>
      </c>
      <c r="BB47" s="22">
        <f>IFERROR(Costing[[#This Row],[Minutes/IAS]]*Costing[[#This Row],[IAS Factor]]/60,"")</f>
        <v>0.5</v>
      </c>
      <c r="BC47" s="23">
        <f>IFERROR(VLOOKUP(Costing[[#This Row],[IAS Team]],Staff_Info[],4,0),"")</f>
        <v>30</v>
      </c>
      <c r="BD47" s="22">
        <f>IFERROR(VLOOKUP(Costing[[#This Row],[IAS Frequency]],Frequency[],2,0),"")</f>
        <v>1</v>
      </c>
      <c r="BE47" s="56">
        <f>IFERROR(Costing[[#This Row],[IAS Hours/Month]]*Costing[[#This Row],[IAS Rate]],0)</f>
        <v>15</v>
      </c>
      <c r="BF47" s="11" t="s">
        <v>182</v>
      </c>
      <c r="BG47" s="11" t="s">
        <v>119</v>
      </c>
      <c r="BH47" s="11">
        <v>180</v>
      </c>
      <c r="BI47" s="23">
        <f>IFERROR(VLOOKUP(Costing[[#This Row],[EOFY Team 1]],Staff_Info[],4,0),"")</f>
        <v>50</v>
      </c>
      <c r="BJ47" s="57">
        <f>Costing[[#This Row],[Time Min 1]]/12</f>
        <v>15</v>
      </c>
      <c r="BK47" s="11" t="s">
        <v>115</v>
      </c>
      <c r="BL47" s="11">
        <v>240</v>
      </c>
      <c r="BM47" s="23">
        <f>IFERROR(VLOOKUP(Costing[[#This Row],[EOFY Team 2]],Staff_Info[],4,0),"")</f>
        <v>10</v>
      </c>
      <c r="BN47" s="57">
        <f>Costing[[#This Row],[Time Min 2]]/12</f>
        <v>20</v>
      </c>
      <c r="BO47" s="55">
        <f>IFERROR((Costing[[#This Row],[EOFY 1 Min/Month]]/60*Costing[[#This Row],[EOFY Team 1 Rate]])+(Costing[[#This Row],[EOFY 2 Min/Month]]/60*Costing[[#This Row],[EOFY Team 2 Rate]]),0)</f>
        <v>15.833333333333332</v>
      </c>
      <c r="BP47" s="11"/>
      <c r="BQ47" s="55">
        <f>IFERROR(VLOOKUP(Costing[[#This Row],[Software Name]],Software[],2,0),0)</f>
        <v>0</v>
      </c>
      <c r="BR47" s="59"/>
      <c r="BS47" s="11"/>
      <c r="BT47" s="60" t="str">
        <f>IF(Costing[[#This Row],[Minutes/Activity]]&gt;0,Costing[[#This Row],[Minutes/Activity]]*Costing[[#This Row],[Onboarding Factor]],"")</f>
        <v/>
      </c>
      <c r="BU47" s="60">
        <f>IFERROR(Costing[[#This Row],[Onboarding Minutes]]/60,)</f>
        <v>0</v>
      </c>
      <c r="BV47" s="60">
        <f t="shared" si="2"/>
        <v>79.92</v>
      </c>
      <c r="BW47" s="61" t="str">
        <f>IFERROR(VLOOKUP(Costing[[#This Row],[Onboarding Team]],Staff_Info[],4,0),"")</f>
        <v/>
      </c>
      <c r="BX47" s="60">
        <f t="shared" si="3"/>
        <v>5.95</v>
      </c>
      <c r="BY47" s="55">
        <f>IFERROR(Costing[[#This Row],[Onboarding Hours]]/Costing[[#This Row],[Client Life Expectancy (Months)]]*Costing[[#This Row],[Onboarding Rate]],0)</f>
        <v>0</v>
      </c>
      <c r="BZ47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65.555555555555557</v>
      </c>
      <c r="CA47" s="27">
        <v>525</v>
      </c>
      <c r="CB47" s="63">
        <f>IFERROR((Costing[[#This Row],[Current Sales Price]]-Costing[[#This Row],[Total  Cost excl. Software]])/Costing[[#This Row],[Current Sales Price]],)</f>
        <v>0.87513227513227521</v>
      </c>
      <c r="CC47" s="64">
        <f>Costing[[#This Row],[Total  Cost excl. Software]]/(1-$CC$1)</f>
        <v>187.30158730158732</v>
      </c>
    </row>
    <row r="48" spans="1:81" x14ac:dyDescent="0.2">
      <c r="A48" s="11" t="s">
        <v>48</v>
      </c>
      <c r="B48" s="48"/>
      <c r="C48" s="17"/>
      <c r="D48" s="17"/>
      <c r="E48" s="17"/>
      <c r="F48" s="21" t="str">
        <f>IFERROR(Costing[[#This Row],[Minutes/Pay Run]]*Costing[[#This Row],[Payroll Factor]]/60,"")</f>
        <v/>
      </c>
      <c r="G48" s="54" t="str">
        <f>IFERROR(VLOOKUP(Costing[[#This Row],[Payroll Team]],Staff_Info[],4,0),"")</f>
        <v/>
      </c>
      <c r="H48" s="21" t="str">
        <f>IFERROR(VLOOKUP(Costing[[#This Row],[Payroll Frequency]],Frequency[],2,0),"")</f>
        <v/>
      </c>
      <c r="I48" s="55">
        <f>IFERROR(Costing[[#This Row],[Payroll Hours/Month]]*Costing[[#This Row],[Payroll Rate]],0)</f>
        <v>0</v>
      </c>
      <c r="J48" s="54"/>
      <c r="K48" s="11"/>
      <c r="L48" s="11"/>
      <c r="M48" s="11"/>
      <c r="N48" s="22" t="str">
        <f>IFERROR(Costing[[#This Row],[Minutes/Super]]*Costing[[#This Row],[Super Factor]]/60,"")</f>
        <v/>
      </c>
      <c r="O48" s="23" t="str">
        <f>IFERROR(VLOOKUP(Costing[[#This Row],[Super Team]],Staff_Info[],4,0),"")</f>
        <v/>
      </c>
      <c r="P48" s="22" t="str">
        <f>IFERROR(VLOOKUP(Costing[[#This Row],[Super Frequency]],Frequency[],2,0),"")</f>
        <v/>
      </c>
      <c r="Q48" s="55">
        <f>IFERROR(Costing[[#This Row],[Super Hours/Month]]*Costing[[#This Row],[Super Rate]],0)</f>
        <v>0</v>
      </c>
      <c r="R48" s="11" t="s">
        <v>177</v>
      </c>
      <c r="S48" s="11" t="s">
        <v>116</v>
      </c>
      <c r="T48" s="11" t="s">
        <v>183</v>
      </c>
      <c r="U48" s="11">
        <v>45</v>
      </c>
      <c r="V48" s="22">
        <f>IFERROR(Costing[[#This Row],[Minutes/Activity]]*Costing[[#This Row],[Bookkeeping Factor]]/60,"")</f>
        <v>0.75</v>
      </c>
      <c r="W48" s="23">
        <f>IFERROR(VLOOKUP(Costing[[#This Row],[Bookkeeping Team]],Staff_Info[],4,0),"")</f>
        <v>10</v>
      </c>
      <c r="X48" s="22">
        <f>IFERROR(VLOOKUP(Costing[[#This Row],[Bookkeeping Frequency]],Frequency[],2,0),"")</f>
        <v>1</v>
      </c>
      <c r="Y48" s="55">
        <f>IFERROR(Costing[[#This Row],[Bookkeeping Hours/Month]]*Costing[[#This Row],[Bookkeeping Rate]],0)</f>
        <v>7.5</v>
      </c>
      <c r="Z48" s="11"/>
      <c r="AA48" s="11"/>
      <c r="AB48" s="11"/>
      <c r="AC48" s="11"/>
      <c r="AD48" s="22" t="str">
        <f>IFERROR(Costing[[#This Row],[Minutes/Report]]*Costing[[#This Row],[Reporting Factor]]/60,"")</f>
        <v/>
      </c>
      <c r="AE48" s="23" t="str">
        <f>IFERROR(VLOOKUP(Costing[[#This Row],[Reporting Team]],Staff_Info[],4,0),"")</f>
        <v/>
      </c>
      <c r="AF48" s="22" t="str">
        <f>IFERROR(VLOOKUP(Costing[[#This Row],[Reporting Frequency]],Frequency[],2,0),"")</f>
        <v/>
      </c>
      <c r="AG48" s="55">
        <f>IFERROR(Costing[[#This Row],[Reporting Hours/Month]]*Costing[[#This Row],[Reporting Rate]],0)</f>
        <v>0</v>
      </c>
      <c r="AH48" s="11"/>
      <c r="AI48" s="11"/>
      <c r="AJ48" s="11"/>
      <c r="AK48" s="11"/>
      <c r="AL48" s="22" t="str">
        <f>IFERROR(Costing[[#This Row],[Minutes/BAS 1]]*Costing[[#This Row],[BAS 1 Factor]]/60,"")</f>
        <v/>
      </c>
      <c r="AM48" s="23" t="str">
        <f>IFERROR(VLOOKUP(Costing[[#This Row],[BAS 1 Team]],Staff_Info[],4,0),"")</f>
        <v/>
      </c>
      <c r="AN48" s="22" t="str">
        <f>IFERROR(VLOOKUP(Costing[[#This Row],[BAS 1 Frequency]],Frequency[],2,0),"")</f>
        <v/>
      </c>
      <c r="AO48" s="55">
        <f>IFERROR(Costing[[#This Row],[BAS 1 Hours/Month]]*Costing[[#This Row],[BAS 1 Rate]],0)</f>
        <v>0</v>
      </c>
      <c r="AP48" s="11"/>
      <c r="AQ48" s="11"/>
      <c r="AR48" s="11"/>
      <c r="AS48" s="11"/>
      <c r="AT48" s="22" t="str">
        <f>IFERROR(Costing[[#This Row],[Minutes/BAS 2]]*Costing[[#This Row],[BAS 2 Factor]]/60,"")</f>
        <v/>
      </c>
      <c r="AU48" s="23" t="str">
        <f>IFERROR(VLOOKUP(Costing[[#This Row],[BAS 2 Team]],Staff_Info[],4,0),"")</f>
        <v/>
      </c>
      <c r="AV48" s="22" t="str">
        <f>IFERROR(VLOOKUP(Costing[[#This Row],[BAS 2 Frequency]],Frequency[],2,0),"")</f>
        <v/>
      </c>
      <c r="AW48" s="55">
        <f>IFERROR(Costing[[#This Row],[BAS 2 Hours/Month]]*Costing[[#This Row],[BAS 2 Rate]],0)</f>
        <v>0</v>
      </c>
      <c r="AX48" s="11"/>
      <c r="AY48" s="11"/>
      <c r="AZ48" s="11"/>
      <c r="BA48" s="11"/>
      <c r="BB48" s="22" t="str">
        <f>IFERROR(Costing[[#This Row],[Minutes/IAS]]*Costing[[#This Row],[IAS Factor]]/60,"")</f>
        <v/>
      </c>
      <c r="BC48" s="23" t="str">
        <f>IFERROR(VLOOKUP(Costing[[#This Row],[IAS Team]],Staff_Info[],4,0),"")</f>
        <v/>
      </c>
      <c r="BD48" s="22" t="str">
        <f>IFERROR(VLOOKUP(Costing[[#This Row],[IAS Frequency]],Frequency[],2,0),"")</f>
        <v/>
      </c>
      <c r="BE48" s="56">
        <f>IFERROR(Costing[[#This Row],[IAS Hours/Month]]*Costing[[#This Row],[IAS Rate]],0)</f>
        <v>0</v>
      </c>
      <c r="BF48" s="11" t="s">
        <v>182</v>
      </c>
      <c r="BG48" s="11" t="s">
        <v>116</v>
      </c>
      <c r="BH48" s="11">
        <v>60</v>
      </c>
      <c r="BI48" s="23">
        <f>IFERROR(VLOOKUP(Costing[[#This Row],[EOFY Team 1]],Staff_Info[],4,0),"")</f>
        <v>10</v>
      </c>
      <c r="BJ48" s="57">
        <f>Costing[[#This Row],[Time Min 1]]/12</f>
        <v>5</v>
      </c>
      <c r="BK48" s="11" t="s">
        <v>126</v>
      </c>
      <c r="BL48" s="11">
        <v>60</v>
      </c>
      <c r="BM48" s="23">
        <f>IFERROR(VLOOKUP(Costing[[#This Row],[EOFY Team 2]],Staff_Info[],4,0),"")</f>
        <v>50</v>
      </c>
      <c r="BN48" s="57">
        <f>Costing[[#This Row],[Time Min 2]]/12</f>
        <v>5</v>
      </c>
      <c r="BO48" s="55">
        <f>IFERROR((Costing[[#This Row],[EOFY 1 Min/Month]]/60*Costing[[#This Row],[EOFY Team 1 Rate]])+(Costing[[#This Row],[EOFY 2 Min/Month]]/60*Costing[[#This Row],[EOFY Team 2 Rate]]),0)</f>
        <v>4.9999999999999991</v>
      </c>
      <c r="BP48" s="11" t="s">
        <v>162</v>
      </c>
      <c r="BQ48" s="55">
        <f>IFERROR(VLOOKUP(Costing[[#This Row],[Software Name]],Software[],2,0),0)</f>
        <v>18.18</v>
      </c>
      <c r="BR48" s="59" t="s">
        <v>294</v>
      </c>
      <c r="BS48" s="11" t="s">
        <v>126</v>
      </c>
      <c r="BT48" s="60">
        <f>IF(Costing[[#This Row],[Minutes/Activity]]&gt;0,Costing[[#This Row],[Minutes/Activity]]*Costing[[#This Row],[Onboarding Factor]],"")</f>
        <v>267.75</v>
      </c>
      <c r="BU48" s="60">
        <f>IFERROR(Costing[[#This Row],[Onboarding Minutes]]/60,)</f>
        <v>4.4625000000000004</v>
      </c>
      <c r="BV48" s="60">
        <f t="shared" si="2"/>
        <v>79.92</v>
      </c>
      <c r="BW48" s="61">
        <f>IFERROR(VLOOKUP(Costing[[#This Row],[Onboarding Team]],Staff_Info[],4,0),"")</f>
        <v>50</v>
      </c>
      <c r="BX48" s="60">
        <f t="shared" si="3"/>
        <v>5.95</v>
      </c>
      <c r="BY48" s="55">
        <f>IFERROR(Costing[[#This Row],[Onboarding Hours]]/Costing[[#This Row],[Client Life Expectancy (Months)]]*Costing[[#This Row],[Onboarding Rate]],0)</f>
        <v>2.7918543543543546</v>
      </c>
      <c r="BZ48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15.291854354354355</v>
      </c>
      <c r="CA48" s="27">
        <v>25</v>
      </c>
      <c r="CB48" s="63">
        <f>IFERROR((Costing[[#This Row],[Current Sales Price]]-Costing[[#This Row],[Total  Cost excl. Software]])/Costing[[#This Row],[Current Sales Price]],)</f>
        <v>0.38832582582582581</v>
      </c>
      <c r="CC48" s="64">
        <f>Costing[[#This Row],[Total  Cost excl. Software]]/(1-$CC$1)</f>
        <v>43.691012441012447</v>
      </c>
    </row>
    <row r="49" spans="1:81" x14ac:dyDescent="0.2">
      <c r="A49" s="11" t="s">
        <v>50</v>
      </c>
      <c r="B49" s="48"/>
      <c r="C49" s="17"/>
      <c r="D49" s="17"/>
      <c r="E49" s="17"/>
      <c r="F49" s="21" t="str">
        <f>IFERROR(Costing[[#This Row],[Minutes/Pay Run]]*Costing[[#This Row],[Payroll Factor]]/60,"")</f>
        <v/>
      </c>
      <c r="G49" s="54" t="str">
        <f>IFERROR(VLOOKUP(Costing[[#This Row],[Payroll Team]],Staff_Info[],4,0),"")</f>
        <v/>
      </c>
      <c r="H49" s="21" t="str">
        <f>IFERROR(VLOOKUP(Costing[[#This Row],[Payroll Frequency]],Frequency[],2,0),"")</f>
        <v/>
      </c>
      <c r="I49" s="55">
        <f>IFERROR(Costing[[#This Row],[Payroll Hours/Month]]*Costing[[#This Row],[Payroll Rate]],0)</f>
        <v>0</v>
      </c>
      <c r="J49" s="54"/>
      <c r="K49" s="11"/>
      <c r="L49" s="11"/>
      <c r="M49" s="11"/>
      <c r="N49" s="22" t="str">
        <f>IFERROR(Costing[[#This Row],[Minutes/Super]]*Costing[[#This Row],[Super Factor]]/60,"")</f>
        <v/>
      </c>
      <c r="O49" s="23" t="str">
        <f>IFERROR(VLOOKUP(Costing[[#This Row],[Super Team]],Staff_Info[],4,0),"")</f>
        <v/>
      </c>
      <c r="P49" s="22" t="str">
        <f>IFERROR(VLOOKUP(Costing[[#This Row],[Super Frequency]],Frequency[],2,0),"")</f>
        <v/>
      </c>
      <c r="Q49" s="55">
        <f>IFERROR(Costing[[#This Row],[Super Hours/Month]]*Costing[[#This Row],[Super Rate]],0)</f>
        <v>0</v>
      </c>
      <c r="R49" s="11" t="s">
        <v>177</v>
      </c>
      <c r="S49" s="11" t="s">
        <v>116</v>
      </c>
      <c r="T49" s="11" t="s">
        <v>183</v>
      </c>
      <c r="U49" s="11">
        <v>120</v>
      </c>
      <c r="V49" s="22">
        <f>IFERROR(Costing[[#This Row],[Minutes/Activity]]*Costing[[#This Row],[Bookkeeping Factor]]/60,"")</f>
        <v>2</v>
      </c>
      <c r="W49" s="23">
        <f>IFERROR(VLOOKUP(Costing[[#This Row],[Bookkeeping Team]],Staff_Info[],4,0),"")</f>
        <v>10</v>
      </c>
      <c r="X49" s="22">
        <f>IFERROR(VLOOKUP(Costing[[#This Row],[Bookkeeping Frequency]],Frequency[],2,0),"")</f>
        <v>1</v>
      </c>
      <c r="Y49" s="55">
        <f>IFERROR(Costing[[#This Row],[Bookkeeping Hours/Month]]*Costing[[#This Row],[Bookkeeping Rate]],0)</f>
        <v>20</v>
      </c>
      <c r="Z49" s="11" t="s">
        <v>178</v>
      </c>
      <c r="AA49" s="11" t="s">
        <v>115</v>
      </c>
      <c r="AB49" s="11" t="s">
        <v>183</v>
      </c>
      <c r="AC49" s="11">
        <v>30</v>
      </c>
      <c r="AD49" s="22">
        <f>IFERROR(Costing[[#This Row],[Minutes/Report]]*Costing[[#This Row],[Reporting Factor]]/60,"")</f>
        <v>0.5</v>
      </c>
      <c r="AE49" s="23">
        <f>IFERROR(VLOOKUP(Costing[[#This Row],[Reporting Team]],Staff_Info[],4,0),"")</f>
        <v>10</v>
      </c>
      <c r="AF49" s="22">
        <f>IFERROR(VLOOKUP(Costing[[#This Row],[Reporting Frequency]],Frequency[],2,0),"")</f>
        <v>1</v>
      </c>
      <c r="AG49" s="55">
        <f>IFERROR(Costing[[#This Row],[Reporting Hours/Month]]*Costing[[#This Row],[Reporting Rate]],0)</f>
        <v>5</v>
      </c>
      <c r="AH49" s="11" t="s">
        <v>179</v>
      </c>
      <c r="AI49" s="11" t="s">
        <v>116</v>
      </c>
      <c r="AJ49" s="11" t="s">
        <v>157</v>
      </c>
      <c r="AK49" s="11">
        <v>60</v>
      </c>
      <c r="AL49" s="22">
        <f>IFERROR(Costing[[#This Row],[Minutes/BAS 1]]*Costing[[#This Row],[BAS 1 Factor]]/60,"")</f>
        <v>0.33333333333333331</v>
      </c>
      <c r="AM49" s="23">
        <f>IFERROR(VLOOKUP(Costing[[#This Row],[BAS 1 Team]],Staff_Info[],4,0),"")</f>
        <v>10</v>
      </c>
      <c r="AN49" s="22">
        <f>IFERROR(VLOOKUP(Costing[[#This Row],[BAS 1 Frequency]],Frequency[],2,0),"")</f>
        <v>0.33333333333333331</v>
      </c>
      <c r="AO49" s="55">
        <f>IFERROR(Costing[[#This Row],[BAS 1 Hours/Month]]*Costing[[#This Row],[BAS 1 Rate]],0)</f>
        <v>3.333333333333333</v>
      </c>
      <c r="AP49" s="11" t="s">
        <v>180</v>
      </c>
      <c r="AQ49" s="11" t="s">
        <v>117</v>
      </c>
      <c r="AR49" s="11" t="s">
        <v>157</v>
      </c>
      <c r="AS49" s="11">
        <v>15</v>
      </c>
      <c r="AT49" s="22">
        <f>IFERROR(Costing[[#This Row],[Minutes/BAS 2]]*Costing[[#This Row],[BAS 2 Factor]]/60,"")</f>
        <v>8.3333333333333329E-2</v>
      </c>
      <c r="AU49" s="23">
        <f>IFERROR(VLOOKUP(Costing[[#This Row],[BAS 2 Team]],Staff_Info[],4,0),"")</f>
        <v>30</v>
      </c>
      <c r="AV49" s="22">
        <f>IFERROR(VLOOKUP(Costing[[#This Row],[BAS 2 Frequency]],Frequency[],2,0),"")</f>
        <v>0.33333333333333331</v>
      </c>
      <c r="AW49" s="55">
        <f>IFERROR(Costing[[#This Row],[BAS 2 Hours/Month]]*Costing[[#This Row],[BAS 2 Rate]],0)</f>
        <v>2.5</v>
      </c>
      <c r="AX49" s="11"/>
      <c r="AY49" s="11"/>
      <c r="AZ49" s="11"/>
      <c r="BA49" s="11"/>
      <c r="BB49" s="22" t="str">
        <f>IFERROR(Costing[[#This Row],[Minutes/IAS]]*Costing[[#This Row],[IAS Factor]]/60,"")</f>
        <v/>
      </c>
      <c r="BC49" s="23" t="str">
        <f>IFERROR(VLOOKUP(Costing[[#This Row],[IAS Team]],Staff_Info[],4,0),"")</f>
        <v/>
      </c>
      <c r="BD49" s="22" t="str">
        <f>IFERROR(VLOOKUP(Costing[[#This Row],[IAS Frequency]],Frequency[],2,0),"")</f>
        <v/>
      </c>
      <c r="BE49" s="56">
        <f>IFERROR(Costing[[#This Row],[IAS Hours/Month]]*Costing[[#This Row],[IAS Rate]],0)</f>
        <v>0</v>
      </c>
      <c r="BF49" s="11" t="s">
        <v>182</v>
      </c>
      <c r="BG49" s="11" t="s">
        <v>116</v>
      </c>
      <c r="BH49" s="11">
        <v>120</v>
      </c>
      <c r="BI49" s="23">
        <f>IFERROR(VLOOKUP(Costing[[#This Row],[EOFY Team 1]],Staff_Info[],4,0),"")</f>
        <v>10</v>
      </c>
      <c r="BJ49" s="57">
        <f>Costing[[#This Row],[Time Min 1]]/12</f>
        <v>10</v>
      </c>
      <c r="BK49" s="11" t="s">
        <v>126</v>
      </c>
      <c r="BL49" s="11">
        <v>120</v>
      </c>
      <c r="BM49" s="23">
        <f>IFERROR(VLOOKUP(Costing[[#This Row],[EOFY Team 2]],Staff_Info[],4,0),"")</f>
        <v>50</v>
      </c>
      <c r="BN49" s="57">
        <f>Costing[[#This Row],[Time Min 2]]/12</f>
        <v>10</v>
      </c>
      <c r="BO49" s="55">
        <f>IFERROR((Costing[[#This Row],[EOFY 1 Min/Month]]/60*Costing[[#This Row],[EOFY Team 1 Rate]])+(Costing[[#This Row],[EOFY 2 Min/Month]]/60*Costing[[#This Row],[EOFY Team 2 Rate]]),0)</f>
        <v>9.9999999999999982</v>
      </c>
      <c r="BP49" s="11" t="s">
        <v>164</v>
      </c>
      <c r="BQ49" s="55">
        <f>IFERROR(VLOOKUP(Costing[[#This Row],[Software Name]],Software[],2,0),0)</f>
        <v>47.27</v>
      </c>
      <c r="BR49" s="59" t="s">
        <v>294</v>
      </c>
      <c r="BS49" s="11" t="s">
        <v>119</v>
      </c>
      <c r="BT49" s="60">
        <f>IF(Costing[[#This Row],[Minutes/Activity]]&gt;0,Costing[[#This Row],[Minutes/Activity]]*Costing[[#This Row],[Onboarding Factor]],"")</f>
        <v>714</v>
      </c>
      <c r="BU49" s="60">
        <f>IFERROR(Costing[[#This Row],[Onboarding Minutes]]/60,)</f>
        <v>11.9</v>
      </c>
      <c r="BV49" s="60">
        <f t="shared" si="2"/>
        <v>79.92</v>
      </c>
      <c r="BW49" s="61">
        <f>IFERROR(VLOOKUP(Costing[[#This Row],[Onboarding Team]],Staff_Info[],4,0),"")</f>
        <v>50</v>
      </c>
      <c r="BX49" s="60">
        <f t="shared" si="3"/>
        <v>5.95</v>
      </c>
      <c r="BY49" s="55">
        <f>IFERROR(Costing[[#This Row],[Onboarding Hours]]/Costing[[#This Row],[Client Life Expectancy (Months)]]*Costing[[#This Row],[Onboarding Rate]],0)</f>
        <v>7.444944944944945</v>
      </c>
      <c r="BZ49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48.278278278278272</v>
      </c>
      <c r="CA49" s="27">
        <v>203.5</v>
      </c>
      <c r="CB49" s="63">
        <f>IFERROR((Costing[[#This Row],[Current Sales Price]]-Costing[[#This Row],[Total  Cost excl. Software]])/Costing[[#This Row],[Current Sales Price]],)</f>
        <v>0.76276030330084388</v>
      </c>
      <c r="CC49" s="64">
        <f>Costing[[#This Row],[Total  Cost excl. Software]]/(1-$CC$1)</f>
        <v>137.93793793793793</v>
      </c>
    </row>
    <row r="50" spans="1:81" x14ac:dyDescent="0.2">
      <c r="A50" s="11" t="s">
        <v>282</v>
      </c>
      <c r="B50" s="48"/>
      <c r="C50" s="17"/>
      <c r="D50" s="17"/>
      <c r="E50" s="17"/>
      <c r="F50" s="21" t="str">
        <f>IFERROR(Costing[[#This Row],[Minutes/Pay Run]]*Costing[[#This Row],[Payroll Factor]]/60,"")</f>
        <v/>
      </c>
      <c r="G50" s="54" t="str">
        <f>IFERROR(VLOOKUP(Costing[[#This Row],[Payroll Team]],Staff_Info[],4,0),"")</f>
        <v/>
      </c>
      <c r="H50" s="21" t="str">
        <f>IFERROR(VLOOKUP(Costing[[#This Row],[Payroll Frequency]],Frequency[],2,0),"")</f>
        <v/>
      </c>
      <c r="I50" s="55">
        <f>IFERROR(Costing[[#This Row],[Payroll Hours/Month]]*Costing[[#This Row],[Payroll Rate]],0)</f>
        <v>0</v>
      </c>
      <c r="J50" s="54"/>
      <c r="K50" s="11"/>
      <c r="L50" s="11"/>
      <c r="M50" s="11"/>
      <c r="N50" s="22" t="str">
        <f>IFERROR(Costing[[#This Row],[Minutes/Super]]*Costing[[#This Row],[Super Factor]]/60,"")</f>
        <v/>
      </c>
      <c r="O50" s="23" t="str">
        <f>IFERROR(VLOOKUP(Costing[[#This Row],[Super Team]],Staff_Info[],4,0),"")</f>
        <v/>
      </c>
      <c r="P50" s="22" t="str">
        <f>IFERROR(VLOOKUP(Costing[[#This Row],[Super Frequency]],Frequency[],2,0),"")</f>
        <v/>
      </c>
      <c r="Q50" s="55">
        <f>IFERROR(Costing[[#This Row],[Super Hours/Month]]*Costing[[#This Row],[Super Rate]],0)</f>
        <v>0</v>
      </c>
      <c r="R50" s="17" t="s">
        <v>177</v>
      </c>
      <c r="S50" s="11" t="s">
        <v>115</v>
      </c>
      <c r="T50" s="11" t="s">
        <v>157</v>
      </c>
      <c r="U50" s="11">
        <v>60</v>
      </c>
      <c r="V50" s="22">
        <f>IFERROR(Costing[[#This Row],[Minutes/Activity]]*Costing[[#This Row],[Bookkeeping Factor]]/60,"")</f>
        <v>0.33333333333333331</v>
      </c>
      <c r="W50" s="23">
        <f>IFERROR(VLOOKUP(Costing[[#This Row],[Bookkeeping Team]],Staff_Info[],4,0),"")</f>
        <v>10</v>
      </c>
      <c r="X50" s="22">
        <f>IFERROR(VLOOKUP(Costing[[#This Row],[Bookkeeping Frequency]],Frequency[],2,0),"")</f>
        <v>0.33333333333333331</v>
      </c>
      <c r="Y50" s="55">
        <f>IFERROR(Costing[[#This Row],[Bookkeeping Hours/Month]]*Costing[[#This Row],[Bookkeeping Rate]],0)</f>
        <v>3.333333333333333</v>
      </c>
      <c r="Z50" s="17"/>
      <c r="AA50" s="11"/>
      <c r="AB50" s="11"/>
      <c r="AC50" s="11"/>
      <c r="AD50" s="22" t="str">
        <f>IFERROR(Costing[[#This Row],[Minutes/Report]]*Costing[[#This Row],[Reporting Factor]]/60,"")</f>
        <v/>
      </c>
      <c r="AE50" s="23" t="str">
        <f>IFERROR(VLOOKUP(Costing[[#This Row],[Reporting Team]],Staff_Info[],4,0),"")</f>
        <v/>
      </c>
      <c r="AF50" s="22" t="str">
        <f>IFERROR(VLOOKUP(Costing[[#This Row],[Reporting Frequency]],Frequency[],2,0),"")</f>
        <v/>
      </c>
      <c r="AG50" s="55">
        <f>IFERROR(Costing[[#This Row],[Reporting Hours/Month]]*Costing[[#This Row],[Reporting Rate]],0)</f>
        <v>0</v>
      </c>
      <c r="AH50" s="17" t="s">
        <v>179</v>
      </c>
      <c r="AI50" s="11" t="s">
        <v>119</v>
      </c>
      <c r="AJ50" s="11" t="s">
        <v>157</v>
      </c>
      <c r="AK50" s="11">
        <v>60</v>
      </c>
      <c r="AL50" s="22">
        <f>IFERROR(Costing[[#This Row],[Minutes/BAS 1]]*Costing[[#This Row],[BAS 1 Factor]]/60,"")</f>
        <v>0.33333333333333331</v>
      </c>
      <c r="AM50" s="23">
        <f>IFERROR(VLOOKUP(Costing[[#This Row],[BAS 1 Team]],Staff_Info[],4,0),"")</f>
        <v>50</v>
      </c>
      <c r="AN50" s="22">
        <f>IFERROR(VLOOKUP(Costing[[#This Row],[BAS 1 Frequency]],Frequency[],2,0),"")</f>
        <v>0.33333333333333331</v>
      </c>
      <c r="AO50" s="55">
        <f>IFERROR(Costing[[#This Row],[BAS 1 Hours/Month]]*Costing[[#This Row],[BAS 1 Rate]],0)</f>
        <v>16.666666666666664</v>
      </c>
      <c r="AP50" s="17" t="s">
        <v>180</v>
      </c>
      <c r="AQ50" s="11" t="s">
        <v>117</v>
      </c>
      <c r="AR50" s="11" t="s">
        <v>157</v>
      </c>
      <c r="AS50" s="11">
        <v>15</v>
      </c>
      <c r="AT50" s="22">
        <f>IFERROR(Costing[[#This Row],[Minutes/BAS 2]]*Costing[[#This Row],[BAS 2 Factor]]/60,"")</f>
        <v>8.3333333333333329E-2</v>
      </c>
      <c r="AU50" s="23">
        <f>IFERROR(VLOOKUP(Costing[[#This Row],[BAS 2 Team]],Staff_Info[],4,0),"")</f>
        <v>30</v>
      </c>
      <c r="AV50" s="22">
        <f>IFERROR(VLOOKUP(Costing[[#This Row],[BAS 2 Frequency]],Frequency[],2,0),"")</f>
        <v>0.33333333333333331</v>
      </c>
      <c r="AW50" s="55">
        <f>IFERROR(Costing[[#This Row],[BAS 2 Hours/Month]]*Costing[[#This Row],[BAS 2 Rate]],0)</f>
        <v>2.5</v>
      </c>
      <c r="AX50" s="17"/>
      <c r="AY50" s="11"/>
      <c r="AZ50" s="11"/>
      <c r="BA50" s="11"/>
      <c r="BB50" s="22" t="str">
        <f>IFERROR(Costing[[#This Row],[Minutes/IAS]]*Costing[[#This Row],[IAS Factor]]/60,"")</f>
        <v/>
      </c>
      <c r="BC50" s="23" t="str">
        <f>IFERROR(VLOOKUP(Costing[[#This Row],[IAS Team]],Staff_Info[],4,0),"")</f>
        <v/>
      </c>
      <c r="BD50" s="22" t="str">
        <f>IFERROR(VLOOKUP(Costing[[#This Row],[IAS Frequency]],Frequency[],2,0),"")</f>
        <v/>
      </c>
      <c r="BE50" s="56">
        <f>IFERROR(Costing[[#This Row],[IAS Hours/Month]]*Costing[[#This Row],[IAS Rate]],0)</f>
        <v>0</v>
      </c>
      <c r="BF50" s="17" t="s">
        <v>182</v>
      </c>
      <c r="BG50" s="11" t="s">
        <v>119</v>
      </c>
      <c r="BH50" s="11">
        <v>120</v>
      </c>
      <c r="BI50" s="23">
        <f>IFERROR(VLOOKUP(Costing[[#This Row],[EOFY Team 1]],Staff_Info[],4,0),"")</f>
        <v>50</v>
      </c>
      <c r="BJ50" s="57">
        <f>Costing[[#This Row],[Time Min 1]]/12</f>
        <v>10</v>
      </c>
      <c r="BK50" s="11" t="s">
        <v>117</v>
      </c>
      <c r="BL50" s="11">
        <v>60</v>
      </c>
      <c r="BM50" s="23">
        <f>IFERROR(VLOOKUP(Costing[[#This Row],[EOFY Team 2]],Staff_Info[],4,0),"")</f>
        <v>30</v>
      </c>
      <c r="BN50" s="57">
        <f>Costing[[#This Row],[Time Min 2]]/12</f>
        <v>5</v>
      </c>
      <c r="BO50" s="55">
        <f>IFERROR((Costing[[#This Row],[EOFY 1 Min/Month]]/60*Costing[[#This Row],[EOFY Team 1 Rate]])+(Costing[[#This Row],[EOFY 2 Min/Month]]/60*Costing[[#This Row],[EOFY Team 2 Rate]]),0)</f>
        <v>10.833333333333332</v>
      </c>
      <c r="BP50" s="17"/>
      <c r="BQ50" s="55">
        <f>IFERROR(VLOOKUP(Costing[[#This Row],[Software Name]],Software[],2,0),0)</f>
        <v>0</v>
      </c>
      <c r="BR50" s="59" t="s">
        <v>294</v>
      </c>
      <c r="BS50" s="11" t="s">
        <v>119</v>
      </c>
      <c r="BT50" s="60">
        <f>IF(Costing[[#This Row],[Minutes/Activity]]&gt;0,Costing[[#This Row],[Minutes/Activity]]*Costing[[#This Row],[Onboarding Factor]],"")</f>
        <v>357</v>
      </c>
      <c r="BU50" s="60">
        <f>IFERROR(Costing[[#This Row],[Onboarding Minutes]]/60,)</f>
        <v>5.95</v>
      </c>
      <c r="BV50" s="60">
        <f t="shared" si="2"/>
        <v>79.92</v>
      </c>
      <c r="BW50" s="61">
        <f>IFERROR(VLOOKUP(Costing[[#This Row],[Onboarding Team]],Staff_Info[],4,0),"")</f>
        <v>50</v>
      </c>
      <c r="BX50" s="60">
        <f t="shared" si="3"/>
        <v>5.95</v>
      </c>
      <c r="BY50" s="55">
        <f>IFERROR(Costing[[#This Row],[Onboarding Hours]]/Costing[[#This Row],[Client Life Expectancy (Months)]]*Costing[[#This Row],[Onboarding Rate]],0)</f>
        <v>3.7224724724724725</v>
      </c>
      <c r="BZ50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37.055805805805804</v>
      </c>
      <c r="CA50" s="27"/>
      <c r="CB50" s="63">
        <f>IFERROR((Costing[[#This Row],[Current Sales Price]]-Costing[[#This Row],[Total  Cost excl. Software]])/Costing[[#This Row],[Current Sales Price]],)</f>
        <v>0</v>
      </c>
      <c r="CC50" s="64">
        <f>Costing[[#This Row],[Total  Cost excl. Software]]/(1-$CC$1)</f>
        <v>105.87373087373088</v>
      </c>
    </row>
    <row r="51" spans="1:81" x14ac:dyDescent="0.2">
      <c r="A51" s="11" t="s">
        <v>51</v>
      </c>
      <c r="B51" s="48"/>
      <c r="C51" s="17"/>
      <c r="D51" s="17"/>
      <c r="E51" s="17"/>
      <c r="F51" s="21" t="str">
        <f>IFERROR(Costing[[#This Row],[Minutes/Pay Run]]*Costing[[#This Row],[Payroll Factor]]/60,"")</f>
        <v/>
      </c>
      <c r="G51" s="54" t="str">
        <f>IFERROR(VLOOKUP(Costing[[#This Row],[Payroll Team]],Staff_Info[],4,0),"")</f>
        <v/>
      </c>
      <c r="H51" s="21" t="str">
        <f>IFERROR(VLOOKUP(Costing[[#This Row],[Payroll Frequency]],Frequency[],2,0),"")</f>
        <v/>
      </c>
      <c r="I51" s="55">
        <f>IFERROR(Costing[[#This Row],[Payroll Hours/Month]]*Costing[[#This Row],[Payroll Rate]],0)</f>
        <v>0</v>
      </c>
      <c r="J51" s="54"/>
      <c r="K51" s="11"/>
      <c r="L51" s="11"/>
      <c r="M51" s="11"/>
      <c r="N51" s="22" t="str">
        <f>IFERROR(Costing[[#This Row],[Minutes/Super]]*Costing[[#This Row],[Super Factor]]/60,"")</f>
        <v/>
      </c>
      <c r="O51" s="23" t="str">
        <f>IFERROR(VLOOKUP(Costing[[#This Row],[Super Team]],Staff_Info[],4,0),"")</f>
        <v/>
      </c>
      <c r="P51" s="22" t="str">
        <f>IFERROR(VLOOKUP(Costing[[#This Row],[Super Frequency]],Frequency[],2,0),"")</f>
        <v/>
      </c>
      <c r="Q51" s="55">
        <f>IFERROR(Costing[[#This Row],[Super Hours/Month]]*Costing[[#This Row],[Super Rate]],0)</f>
        <v>0</v>
      </c>
      <c r="R51" s="11" t="s">
        <v>177</v>
      </c>
      <c r="S51" s="11" t="s">
        <v>117</v>
      </c>
      <c r="T51" s="11" t="s">
        <v>157</v>
      </c>
      <c r="U51" s="11">
        <v>145</v>
      </c>
      <c r="V51" s="22">
        <f>IFERROR(Costing[[#This Row],[Minutes/Activity]]*Costing[[#This Row],[Bookkeeping Factor]]/60,"")</f>
        <v>0.80555555555555547</v>
      </c>
      <c r="W51" s="23">
        <f>IFERROR(VLOOKUP(Costing[[#This Row],[Bookkeeping Team]],Staff_Info[],4,0),"")</f>
        <v>30</v>
      </c>
      <c r="X51" s="22">
        <f>IFERROR(VLOOKUP(Costing[[#This Row],[Bookkeeping Frequency]],Frequency[],2,0),"")</f>
        <v>0.33333333333333331</v>
      </c>
      <c r="Y51" s="55">
        <f>IFERROR(Costing[[#This Row],[Bookkeeping Hours/Month]]*Costing[[#This Row],[Bookkeeping Rate]],0)</f>
        <v>24.166666666666664</v>
      </c>
      <c r="Z51" s="11" t="s">
        <v>178</v>
      </c>
      <c r="AA51" s="11" t="s">
        <v>119</v>
      </c>
      <c r="AB51" s="11" t="s">
        <v>157</v>
      </c>
      <c r="AC51" s="11">
        <v>45</v>
      </c>
      <c r="AD51" s="22">
        <f>IFERROR(Costing[[#This Row],[Minutes/Report]]*Costing[[#This Row],[Reporting Factor]]/60,"")</f>
        <v>0.25</v>
      </c>
      <c r="AE51" s="23">
        <f>IFERROR(VLOOKUP(Costing[[#This Row],[Reporting Team]],Staff_Info[],4,0),"")</f>
        <v>50</v>
      </c>
      <c r="AF51" s="22">
        <f>IFERROR(VLOOKUP(Costing[[#This Row],[Reporting Frequency]],Frequency[],2,0),"")</f>
        <v>0.33333333333333331</v>
      </c>
      <c r="AG51" s="55">
        <f>IFERROR(Costing[[#This Row],[Reporting Hours/Month]]*Costing[[#This Row],[Reporting Rate]],0)</f>
        <v>12.5</v>
      </c>
      <c r="AH51" s="11" t="s">
        <v>179</v>
      </c>
      <c r="AI51" s="11" t="s">
        <v>117</v>
      </c>
      <c r="AJ51" s="11" t="s">
        <v>157</v>
      </c>
      <c r="AK51" s="11">
        <v>60</v>
      </c>
      <c r="AL51" s="22">
        <f>IFERROR(Costing[[#This Row],[Minutes/BAS 1]]*Costing[[#This Row],[BAS 1 Factor]]/60,"")</f>
        <v>0.33333333333333331</v>
      </c>
      <c r="AM51" s="23">
        <f>IFERROR(VLOOKUP(Costing[[#This Row],[BAS 1 Team]],Staff_Info[],4,0),"")</f>
        <v>30</v>
      </c>
      <c r="AN51" s="22">
        <f>IFERROR(VLOOKUP(Costing[[#This Row],[BAS 1 Frequency]],Frequency[],2,0),"")</f>
        <v>0.33333333333333331</v>
      </c>
      <c r="AO51" s="55">
        <f>IFERROR(Costing[[#This Row],[BAS 1 Hours/Month]]*Costing[[#This Row],[BAS 1 Rate]],0)</f>
        <v>10</v>
      </c>
      <c r="AP51" s="11" t="s">
        <v>180</v>
      </c>
      <c r="AQ51" s="11" t="s">
        <v>117</v>
      </c>
      <c r="AR51" s="11" t="s">
        <v>157</v>
      </c>
      <c r="AS51" s="11">
        <v>15</v>
      </c>
      <c r="AT51" s="22">
        <f>IFERROR(Costing[[#This Row],[Minutes/BAS 2]]*Costing[[#This Row],[BAS 2 Factor]]/60,"")</f>
        <v>8.3333333333333329E-2</v>
      </c>
      <c r="AU51" s="23">
        <f>IFERROR(VLOOKUP(Costing[[#This Row],[BAS 2 Team]],Staff_Info[],4,0),"")</f>
        <v>30</v>
      </c>
      <c r="AV51" s="22">
        <f>IFERROR(VLOOKUP(Costing[[#This Row],[BAS 2 Frequency]],Frequency[],2,0),"")</f>
        <v>0.33333333333333331</v>
      </c>
      <c r="AW51" s="55">
        <f>IFERROR(Costing[[#This Row],[BAS 2 Hours/Month]]*Costing[[#This Row],[BAS 2 Rate]],0)</f>
        <v>2.5</v>
      </c>
      <c r="AX51" s="11"/>
      <c r="AY51" s="11"/>
      <c r="AZ51" s="11"/>
      <c r="BA51" s="11"/>
      <c r="BB51" s="22" t="str">
        <f>IFERROR(Costing[[#This Row],[Minutes/IAS]]*Costing[[#This Row],[IAS Factor]]/60,"")</f>
        <v/>
      </c>
      <c r="BC51" s="23" t="str">
        <f>IFERROR(VLOOKUP(Costing[[#This Row],[IAS Team]],Staff_Info[],4,0),"")</f>
        <v/>
      </c>
      <c r="BD51" s="22" t="str">
        <f>IFERROR(VLOOKUP(Costing[[#This Row],[IAS Frequency]],Frequency[],2,0),"")</f>
        <v/>
      </c>
      <c r="BE51" s="56">
        <f>IFERROR(Costing[[#This Row],[IAS Hours/Month]]*Costing[[#This Row],[IAS Rate]],0)</f>
        <v>0</v>
      </c>
      <c r="BF51" s="11" t="s">
        <v>182</v>
      </c>
      <c r="BG51" s="11" t="s">
        <v>119</v>
      </c>
      <c r="BH51" s="11">
        <v>120</v>
      </c>
      <c r="BI51" s="23">
        <f>IFERROR(VLOOKUP(Costing[[#This Row],[EOFY Team 1]],Staff_Info[],4,0),"")</f>
        <v>50</v>
      </c>
      <c r="BJ51" s="57">
        <f>Costing[[#This Row],[Time Min 1]]/12</f>
        <v>10</v>
      </c>
      <c r="BK51" s="11" t="s">
        <v>117</v>
      </c>
      <c r="BL51" s="11">
        <v>60</v>
      </c>
      <c r="BM51" s="23">
        <f>IFERROR(VLOOKUP(Costing[[#This Row],[EOFY Team 2]],Staff_Info[],4,0),"")</f>
        <v>30</v>
      </c>
      <c r="BN51" s="57">
        <f>Costing[[#This Row],[Time Min 2]]/12</f>
        <v>5</v>
      </c>
      <c r="BO51" s="55">
        <f>IFERROR((Costing[[#This Row],[EOFY 1 Min/Month]]/60*Costing[[#This Row],[EOFY Team 1 Rate]])+(Costing[[#This Row],[EOFY 2 Min/Month]]/60*Costing[[#This Row],[EOFY Team 2 Rate]]),0)</f>
        <v>10.833333333333332</v>
      </c>
      <c r="BP51" s="11" t="s">
        <v>163</v>
      </c>
      <c r="BQ51" s="55">
        <f>IFERROR(VLOOKUP(Costing[[#This Row],[Software Name]],Software[],2,0),0)</f>
        <v>36.36</v>
      </c>
      <c r="BR51" s="59" t="s">
        <v>294</v>
      </c>
      <c r="BS51" s="11" t="s">
        <v>119</v>
      </c>
      <c r="BT51" s="60">
        <f>IF(Costing[[#This Row],[Minutes/Activity]]&gt;0,Costing[[#This Row],[Minutes/Activity]]*Costing[[#This Row],[Onboarding Factor]],"")</f>
        <v>862.75</v>
      </c>
      <c r="BU51" s="60">
        <f>IFERROR(Costing[[#This Row],[Onboarding Minutes]]/60,)</f>
        <v>14.379166666666666</v>
      </c>
      <c r="BV51" s="60">
        <f t="shared" si="2"/>
        <v>79.92</v>
      </c>
      <c r="BW51" s="61">
        <f>IFERROR(VLOOKUP(Costing[[#This Row],[Onboarding Team]],Staff_Info[],4,0),"")</f>
        <v>50</v>
      </c>
      <c r="BX51" s="60">
        <f t="shared" si="3"/>
        <v>5.95</v>
      </c>
      <c r="BY51" s="55">
        <f>IFERROR(Costing[[#This Row],[Onboarding Hours]]/Costing[[#This Row],[Client Life Expectancy (Months)]]*Costing[[#This Row],[Onboarding Rate]],0)</f>
        <v>8.9959751418084757</v>
      </c>
      <c r="BZ51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68.995975141808472</v>
      </c>
      <c r="CA51" s="27">
        <v>143</v>
      </c>
      <c r="CB51" s="63">
        <f>IFERROR((Costing[[#This Row],[Current Sales Price]]-Costing[[#This Row],[Total  Cost excl. Software]])/Costing[[#This Row],[Current Sales Price]],)</f>
        <v>0.51751066334399665</v>
      </c>
      <c r="CC51" s="64">
        <f>Costing[[#This Row],[Total  Cost excl. Software]]/(1-$CC$1)</f>
        <v>197.13135754802423</v>
      </c>
    </row>
    <row r="52" spans="1:81" x14ac:dyDescent="0.2">
      <c r="A52" s="11" t="s">
        <v>54</v>
      </c>
      <c r="B52" s="48"/>
      <c r="C52" s="17"/>
      <c r="D52" s="17"/>
      <c r="E52" s="17"/>
      <c r="F52" s="21" t="str">
        <f>IFERROR(Costing[[#This Row],[Minutes/Pay Run]]*Costing[[#This Row],[Payroll Factor]]/60,"")</f>
        <v/>
      </c>
      <c r="G52" s="54" t="str">
        <f>IFERROR(VLOOKUP(Costing[[#This Row],[Payroll Team]],Staff_Info[],4,0),"")</f>
        <v/>
      </c>
      <c r="H52" s="21" t="str">
        <f>IFERROR(VLOOKUP(Costing[[#This Row],[Payroll Frequency]],Frequency[],2,0),"")</f>
        <v/>
      </c>
      <c r="I52" s="55">
        <f>IFERROR(Costing[[#This Row],[Payroll Hours/Month]]*Costing[[#This Row],[Payroll Rate]],0)</f>
        <v>0</v>
      </c>
      <c r="J52" s="54"/>
      <c r="K52" s="11"/>
      <c r="L52" s="11"/>
      <c r="M52" s="11"/>
      <c r="N52" s="22" t="str">
        <f>IFERROR(Costing[[#This Row],[Minutes/Super]]*Costing[[#This Row],[Super Factor]]/60,"")</f>
        <v/>
      </c>
      <c r="O52" s="23" t="str">
        <f>IFERROR(VLOOKUP(Costing[[#This Row],[Super Team]],Staff_Info[],4,0),"")</f>
        <v/>
      </c>
      <c r="P52" s="22" t="str">
        <f>IFERROR(VLOOKUP(Costing[[#This Row],[Super Frequency]],Frequency[],2,0),"")</f>
        <v/>
      </c>
      <c r="Q52" s="55">
        <f>IFERROR(Costing[[#This Row],[Super Hours/Month]]*Costing[[#This Row],[Super Rate]],0)</f>
        <v>0</v>
      </c>
      <c r="R52" s="11" t="s">
        <v>177</v>
      </c>
      <c r="S52" s="11" t="s">
        <v>117</v>
      </c>
      <c r="T52" s="11" t="s">
        <v>183</v>
      </c>
      <c r="U52" s="11">
        <v>134</v>
      </c>
      <c r="V52" s="22">
        <f>IFERROR(Costing[[#This Row],[Minutes/Activity]]*Costing[[#This Row],[Bookkeeping Factor]]/60,"")</f>
        <v>2.2333333333333334</v>
      </c>
      <c r="W52" s="23">
        <f>IFERROR(VLOOKUP(Costing[[#This Row],[Bookkeeping Team]],Staff_Info[],4,0),"")</f>
        <v>30</v>
      </c>
      <c r="X52" s="22">
        <f>IFERROR(VLOOKUP(Costing[[#This Row],[Bookkeeping Frequency]],Frequency[],2,0),"")</f>
        <v>1</v>
      </c>
      <c r="Y52" s="55">
        <f>IFERROR(Costing[[#This Row],[Bookkeeping Hours/Month]]*Costing[[#This Row],[Bookkeeping Rate]],0)</f>
        <v>67</v>
      </c>
      <c r="Z52" s="11" t="s">
        <v>178</v>
      </c>
      <c r="AA52" s="11" t="s">
        <v>126</v>
      </c>
      <c r="AB52" s="11" t="s">
        <v>183</v>
      </c>
      <c r="AC52" s="11">
        <v>20</v>
      </c>
      <c r="AD52" s="22">
        <f>IFERROR(Costing[[#This Row],[Minutes/Report]]*Costing[[#This Row],[Reporting Factor]]/60,"")</f>
        <v>0.33333333333333331</v>
      </c>
      <c r="AE52" s="23">
        <f>IFERROR(VLOOKUP(Costing[[#This Row],[Reporting Team]],Staff_Info[],4,0),"")</f>
        <v>50</v>
      </c>
      <c r="AF52" s="22">
        <f>IFERROR(VLOOKUP(Costing[[#This Row],[Reporting Frequency]],Frequency[],2,0),"")</f>
        <v>1</v>
      </c>
      <c r="AG52" s="55">
        <f>IFERROR(Costing[[#This Row],[Reporting Hours/Month]]*Costing[[#This Row],[Reporting Rate]],0)</f>
        <v>16.666666666666664</v>
      </c>
      <c r="AH52" s="11" t="s">
        <v>179</v>
      </c>
      <c r="AI52" s="11" t="s">
        <v>117</v>
      </c>
      <c r="AJ52" s="11" t="s">
        <v>157</v>
      </c>
      <c r="AK52" s="11">
        <v>60</v>
      </c>
      <c r="AL52" s="22">
        <f>IFERROR(Costing[[#This Row],[Minutes/BAS 1]]*Costing[[#This Row],[BAS 1 Factor]]/60,"")</f>
        <v>0.33333333333333331</v>
      </c>
      <c r="AM52" s="23">
        <f>IFERROR(VLOOKUP(Costing[[#This Row],[BAS 1 Team]],Staff_Info[],4,0),"")</f>
        <v>30</v>
      </c>
      <c r="AN52" s="22">
        <f>IFERROR(VLOOKUP(Costing[[#This Row],[BAS 1 Frequency]],Frequency[],2,0),"")</f>
        <v>0.33333333333333331</v>
      </c>
      <c r="AO52" s="55">
        <f>IFERROR(Costing[[#This Row],[BAS 1 Hours/Month]]*Costing[[#This Row],[BAS 1 Rate]],0)</f>
        <v>10</v>
      </c>
      <c r="AP52" s="11" t="s">
        <v>180</v>
      </c>
      <c r="AQ52" s="11" t="s">
        <v>117</v>
      </c>
      <c r="AR52" s="11" t="s">
        <v>157</v>
      </c>
      <c r="AS52" s="11">
        <v>15</v>
      </c>
      <c r="AT52" s="22">
        <f>IFERROR(Costing[[#This Row],[Minutes/BAS 2]]*Costing[[#This Row],[BAS 2 Factor]]/60,"")</f>
        <v>8.3333333333333329E-2</v>
      </c>
      <c r="AU52" s="23">
        <f>IFERROR(VLOOKUP(Costing[[#This Row],[BAS 2 Team]],Staff_Info[],4,0),"")</f>
        <v>30</v>
      </c>
      <c r="AV52" s="22">
        <f>IFERROR(VLOOKUP(Costing[[#This Row],[BAS 2 Frequency]],Frequency[],2,0),"")</f>
        <v>0.33333333333333331</v>
      </c>
      <c r="AW52" s="55">
        <f>IFERROR(Costing[[#This Row],[BAS 2 Hours/Month]]*Costing[[#This Row],[BAS 2 Rate]],0)</f>
        <v>2.5</v>
      </c>
      <c r="AX52" s="11"/>
      <c r="AY52" s="11"/>
      <c r="AZ52" s="11"/>
      <c r="BA52" s="11"/>
      <c r="BB52" s="22" t="str">
        <f>IFERROR(Costing[[#This Row],[Minutes/IAS]]*Costing[[#This Row],[IAS Factor]]/60,"")</f>
        <v/>
      </c>
      <c r="BC52" s="23" t="str">
        <f>IFERROR(VLOOKUP(Costing[[#This Row],[IAS Team]],Staff_Info[],4,0),"")</f>
        <v/>
      </c>
      <c r="BD52" s="22" t="str">
        <f>IFERROR(VLOOKUP(Costing[[#This Row],[IAS Frequency]],Frequency[],2,0),"")</f>
        <v/>
      </c>
      <c r="BE52" s="56">
        <f>IFERROR(Costing[[#This Row],[IAS Hours/Month]]*Costing[[#This Row],[IAS Rate]],0)</f>
        <v>0</v>
      </c>
      <c r="BF52" s="11" t="s">
        <v>182</v>
      </c>
      <c r="BG52" s="11" t="s">
        <v>117</v>
      </c>
      <c r="BH52" s="11">
        <v>120</v>
      </c>
      <c r="BI52" s="23">
        <f>IFERROR(VLOOKUP(Costing[[#This Row],[EOFY Team 1]],Staff_Info[],4,0),"")</f>
        <v>30</v>
      </c>
      <c r="BJ52" s="57">
        <f>Costing[[#This Row],[Time Min 1]]/12</f>
        <v>10</v>
      </c>
      <c r="BK52" s="11" t="s">
        <v>126</v>
      </c>
      <c r="BL52" s="11">
        <v>120</v>
      </c>
      <c r="BM52" s="23">
        <f>IFERROR(VLOOKUP(Costing[[#This Row],[EOFY Team 2]],Staff_Info[],4,0),"")</f>
        <v>50</v>
      </c>
      <c r="BN52" s="57">
        <f>Costing[[#This Row],[Time Min 2]]/12</f>
        <v>10</v>
      </c>
      <c r="BO52" s="55">
        <f>IFERROR((Costing[[#This Row],[EOFY 1 Min/Month]]/60*Costing[[#This Row],[EOFY Team 1 Rate]])+(Costing[[#This Row],[EOFY 2 Min/Month]]/60*Costing[[#This Row],[EOFY Team 2 Rate]]),0)</f>
        <v>13.333333333333332</v>
      </c>
      <c r="BP52" s="11" t="s">
        <v>174</v>
      </c>
      <c r="BQ52" s="55">
        <f>IFERROR(VLOOKUP(Costing[[#This Row],[Software Name]],Software[],2,0),0)</f>
        <v>0</v>
      </c>
      <c r="BR52" s="59" t="s">
        <v>294</v>
      </c>
      <c r="BS52" s="11" t="s">
        <v>126</v>
      </c>
      <c r="BT52" s="60">
        <f>IF(Costing[[#This Row],[Minutes/Activity]]&gt;0,Costing[[#This Row],[Minutes/Activity]]*Costing[[#This Row],[Onboarding Factor]],"")</f>
        <v>797.30000000000007</v>
      </c>
      <c r="BU52" s="60">
        <f>IFERROR(Costing[[#This Row],[Onboarding Minutes]]/60,)</f>
        <v>13.288333333333334</v>
      </c>
      <c r="BV52" s="60">
        <f t="shared" si="2"/>
        <v>79.92</v>
      </c>
      <c r="BW52" s="61">
        <f>IFERROR(VLOOKUP(Costing[[#This Row],[Onboarding Team]],Staff_Info[],4,0),"")</f>
        <v>50</v>
      </c>
      <c r="BX52" s="60">
        <f t="shared" si="3"/>
        <v>5.95</v>
      </c>
      <c r="BY52" s="55">
        <f>IFERROR(Costing[[#This Row],[Onboarding Hours]]/Costing[[#This Row],[Client Life Expectancy (Months)]]*Costing[[#This Row],[Onboarding Rate]],0)</f>
        <v>8.3135218551885224</v>
      </c>
      <c r="BZ52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117.81352185518851</v>
      </c>
      <c r="CA52" s="27">
        <v>372.67</v>
      </c>
      <c r="CB52" s="63">
        <f>IFERROR((Costing[[#This Row],[Current Sales Price]]-Costing[[#This Row],[Total  Cost excl. Software]])/Costing[[#This Row],[Current Sales Price]],)</f>
        <v>0.68386636473236773</v>
      </c>
      <c r="CC52" s="64">
        <f>Costing[[#This Row],[Total  Cost excl. Software]]/(1-$CC$1)</f>
        <v>336.61006244339575</v>
      </c>
    </row>
    <row r="53" spans="1:81" x14ac:dyDescent="0.2">
      <c r="A53" s="11" t="s">
        <v>276</v>
      </c>
      <c r="B53" s="48" t="s">
        <v>145</v>
      </c>
      <c r="C53" s="17" t="s">
        <v>116</v>
      </c>
      <c r="D53" s="17" t="s">
        <v>154</v>
      </c>
      <c r="E53" s="17">
        <v>25</v>
      </c>
      <c r="F53" s="21">
        <f>IFERROR(Costing[[#This Row],[Minutes/Pay Run]]*Costing[[#This Row],[Payroll Factor]]/60,"")</f>
        <v>1.8055555555555556</v>
      </c>
      <c r="G53" s="54">
        <f>IFERROR(VLOOKUP(Costing[[#This Row],[Payroll Team]],Staff_Info[],4,0),"")</f>
        <v>10</v>
      </c>
      <c r="H53" s="21">
        <f>IFERROR(VLOOKUP(Costing[[#This Row],[Payroll Frequency]],Frequency[],2,0),"")</f>
        <v>4.333333333333333</v>
      </c>
      <c r="I53" s="55">
        <f>IFERROR(Costing[[#This Row],[Payroll Hours/Month]]*Costing[[#This Row],[Payroll Rate]],0)</f>
        <v>18.055555555555557</v>
      </c>
      <c r="J53" s="54" t="s">
        <v>176</v>
      </c>
      <c r="K53" s="11" t="s">
        <v>116</v>
      </c>
      <c r="L53" s="11" t="s">
        <v>157</v>
      </c>
      <c r="M53" s="11">
        <v>20</v>
      </c>
      <c r="N53" s="22">
        <f>IFERROR(Costing[[#This Row],[Minutes/Super]]*Costing[[#This Row],[Super Factor]]/60,"")</f>
        <v>0.1111111111111111</v>
      </c>
      <c r="O53" s="23">
        <f>IFERROR(VLOOKUP(Costing[[#This Row],[Super Team]],Staff_Info[],4,0),"")</f>
        <v>10</v>
      </c>
      <c r="P53" s="22">
        <f>IFERROR(VLOOKUP(Costing[[#This Row],[Super Frequency]],Frequency[],2,0),"")</f>
        <v>0.33333333333333331</v>
      </c>
      <c r="Q53" s="55">
        <f>IFERROR(Costing[[#This Row],[Super Hours/Month]]*Costing[[#This Row],[Super Rate]],0)</f>
        <v>1.1111111111111112</v>
      </c>
      <c r="R53" s="11" t="s">
        <v>177</v>
      </c>
      <c r="S53" s="11" t="s">
        <v>116</v>
      </c>
      <c r="T53" s="11" t="s">
        <v>183</v>
      </c>
      <c r="U53" s="11">
        <v>442</v>
      </c>
      <c r="V53" s="22">
        <f>IFERROR(Costing[[#This Row],[Minutes/Activity]]*Costing[[#This Row],[Bookkeeping Factor]]/60,"")</f>
        <v>7.3666666666666663</v>
      </c>
      <c r="W53" s="23">
        <f>IFERROR(VLOOKUP(Costing[[#This Row],[Bookkeeping Team]],Staff_Info[],4,0),"")</f>
        <v>10</v>
      </c>
      <c r="X53" s="22">
        <f>IFERROR(VLOOKUP(Costing[[#This Row],[Bookkeeping Frequency]],Frequency[],2,0),"")</f>
        <v>1</v>
      </c>
      <c r="Y53" s="55">
        <f>IFERROR(Costing[[#This Row],[Bookkeeping Hours/Month]]*Costing[[#This Row],[Bookkeeping Rate]],0)</f>
        <v>73.666666666666657</v>
      </c>
      <c r="Z53" s="11" t="s">
        <v>178</v>
      </c>
      <c r="AA53" s="11" t="s">
        <v>126</v>
      </c>
      <c r="AB53" s="11" t="s">
        <v>183</v>
      </c>
      <c r="AC53" s="11">
        <v>20</v>
      </c>
      <c r="AD53" s="22">
        <f>IFERROR(Costing[[#This Row],[Minutes/Report]]*Costing[[#This Row],[Reporting Factor]]/60,"")</f>
        <v>0.33333333333333331</v>
      </c>
      <c r="AE53" s="23">
        <f>IFERROR(VLOOKUP(Costing[[#This Row],[Reporting Team]],Staff_Info[],4,0),"")</f>
        <v>50</v>
      </c>
      <c r="AF53" s="22">
        <f>IFERROR(VLOOKUP(Costing[[#This Row],[Reporting Frequency]],Frequency[],2,0),"")</f>
        <v>1</v>
      </c>
      <c r="AG53" s="55">
        <f>IFERROR(Costing[[#This Row],[Reporting Hours/Month]]*Costing[[#This Row],[Reporting Rate]],0)</f>
        <v>16.666666666666664</v>
      </c>
      <c r="AH53" s="11" t="s">
        <v>179</v>
      </c>
      <c r="AI53" s="11" t="s">
        <v>116</v>
      </c>
      <c r="AJ53" s="11" t="s">
        <v>157</v>
      </c>
      <c r="AK53" s="11">
        <v>60</v>
      </c>
      <c r="AL53" s="22">
        <f>IFERROR(Costing[[#This Row],[Minutes/BAS 1]]*Costing[[#This Row],[BAS 1 Factor]]/60,"")</f>
        <v>0.33333333333333331</v>
      </c>
      <c r="AM53" s="23">
        <f>IFERROR(VLOOKUP(Costing[[#This Row],[BAS 1 Team]],Staff_Info[],4,0),"")</f>
        <v>10</v>
      </c>
      <c r="AN53" s="22">
        <f>IFERROR(VLOOKUP(Costing[[#This Row],[BAS 1 Frequency]],Frequency[],2,0),"")</f>
        <v>0.33333333333333331</v>
      </c>
      <c r="AO53" s="55">
        <f>IFERROR(Costing[[#This Row],[BAS 1 Hours/Month]]*Costing[[#This Row],[BAS 1 Rate]],0)</f>
        <v>3.333333333333333</v>
      </c>
      <c r="AP53" s="11" t="s">
        <v>180</v>
      </c>
      <c r="AQ53" s="11" t="s">
        <v>117</v>
      </c>
      <c r="AR53" s="11" t="s">
        <v>157</v>
      </c>
      <c r="AS53" s="11">
        <v>15</v>
      </c>
      <c r="AT53" s="22">
        <f>IFERROR(Costing[[#This Row],[Minutes/BAS 2]]*Costing[[#This Row],[BAS 2 Factor]]/60,"")</f>
        <v>8.3333333333333329E-2</v>
      </c>
      <c r="AU53" s="23">
        <f>IFERROR(VLOOKUP(Costing[[#This Row],[BAS 2 Team]],Staff_Info[],4,0),"")</f>
        <v>30</v>
      </c>
      <c r="AV53" s="22">
        <f>IFERROR(VLOOKUP(Costing[[#This Row],[BAS 2 Frequency]],Frequency[],2,0),"")</f>
        <v>0.33333333333333331</v>
      </c>
      <c r="AW53" s="55">
        <f>IFERROR(Costing[[#This Row],[BAS 2 Hours/Month]]*Costing[[#This Row],[BAS 2 Rate]],0)</f>
        <v>2.5</v>
      </c>
      <c r="AX53" s="11"/>
      <c r="AY53" s="11"/>
      <c r="AZ53" s="11"/>
      <c r="BA53" s="11"/>
      <c r="BB53" s="22" t="str">
        <f>IFERROR(Costing[[#This Row],[Minutes/IAS]]*Costing[[#This Row],[IAS Factor]]/60,"")</f>
        <v/>
      </c>
      <c r="BC53" s="23" t="str">
        <f>IFERROR(VLOOKUP(Costing[[#This Row],[IAS Team]],Staff_Info[],4,0),"")</f>
        <v/>
      </c>
      <c r="BD53" s="22" t="str">
        <f>IFERROR(VLOOKUP(Costing[[#This Row],[IAS Frequency]],Frequency[],2,0),"")</f>
        <v/>
      </c>
      <c r="BE53" s="56">
        <f>IFERROR(Costing[[#This Row],[IAS Hours/Month]]*Costing[[#This Row],[IAS Rate]],0)</f>
        <v>0</v>
      </c>
      <c r="BF53" s="11" t="s">
        <v>182</v>
      </c>
      <c r="BG53" s="11" t="s">
        <v>126</v>
      </c>
      <c r="BH53" s="11">
        <v>120</v>
      </c>
      <c r="BI53" s="23">
        <f>IFERROR(VLOOKUP(Costing[[#This Row],[EOFY Team 1]],Staff_Info[],4,0),"")</f>
        <v>50</v>
      </c>
      <c r="BJ53" s="57">
        <f>Costing[[#This Row],[Time Min 1]]/12</f>
        <v>10</v>
      </c>
      <c r="BK53" s="11" t="s">
        <v>116</v>
      </c>
      <c r="BL53" s="11">
        <v>120</v>
      </c>
      <c r="BM53" s="23">
        <f>IFERROR(VLOOKUP(Costing[[#This Row],[EOFY Team 2]],Staff_Info[],4,0),"")</f>
        <v>10</v>
      </c>
      <c r="BN53" s="57">
        <f>Costing[[#This Row],[Time Min 2]]/12</f>
        <v>10</v>
      </c>
      <c r="BO53" s="55">
        <f>IFERROR((Costing[[#This Row],[EOFY 1 Min/Month]]/60*Costing[[#This Row],[EOFY Team 1 Rate]])+(Costing[[#This Row],[EOFY 2 Min/Month]]/60*Costing[[#This Row],[EOFY Team 2 Rate]]),0)</f>
        <v>9.9999999999999982</v>
      </c>
      <c r="BP53" s="11" t="s">
        <v>167</v>
      </c>
      <c r="BQ53" s="55">
        <f>IFERROR(VLOOKUP(Costing[[#This Row],[Software Name]],Software[],2,0),0)</f>
        <v>90.91</v>
      </c>
      <c r="BR53" s="59" t="s">
        <v>294</v>
      </c>
      <c r="BS53" s="11" t="s">
        <v>126</v>
      </c>
      <c r="BT53" s="60">
        <f>IF(Costing[[#This Row],[Minutes/Activity]]&gt;0,Costing[[#This Row],[Minutes/Activity]]*Costing[[#This Row],[Onboarding Factor]],"")</f>
        <v>2629.9</v>
      </c>
      <c r="BU53" s="60">
        <f>IFERROR(Costing[[#This Row],[Onboarding Minutes]]/60,)</f>
        <v>43.831666666666671</v>
      </c>
      <c r="BV53" s="60">
        <f t="shared" si="2"/>
        <v>79.92</v>
      </c>
      <c r="BW53" s="61">
        <f>IFERROR(VLOOKUP(Costing[[#This Row],[Onboarding Team]],Staff_Info[],4,0),"")</f>
        <v>50</v>
      </c>
      <c r="BX53" s="60">
        <f t="shared" si="3"/>
        <v>5.95</v>
      </c>
      <c r="BY53" s="55">
        <f>IFERROR(Costing[[#This Row],[Onboarding Hours]]/Costing[[#This Row],[Client Life Expectancy (Months)]]*Costing[[#This Row],[Onboarding Rate]],0)</f>
        <v>27.422213880547215</v>
      </c>
      <c r="BZ53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152.75554721388053</v>
      </c>
      <c r="CA53" s="27">
        <v>139.19999999999999</v>
      </c>
      <c r="CB53" s="63">
        <f>IFERROR((Costing[[#This Row],[Current Sales Price]]-Costing[[#This Row],[Total  Cost excl. Software]])/Costing[[#This Row],[Current Sales Price]],)</f>
        <v>-9.7381804697417709E-2</v>
      </c>
      <c r="CC53" s="64">
        <f>Costing[[#This Row],[Total  Cost excl. Software]]/(1-$CC$1)</f>
        <v>436.44442061108725</v>
      </c>
    </row>
    <row r="54" spans="1:81" x14ac:dyDescent="0.2">
      <c r="A54" s="11" t="s">
        <v>55</v>
      </c>
      <c r="B54" s="48"/>
      <c r="C54" s="17"/>
      <c r="D54" s="17"/>
      <c r="E54" s="17"/>
      <c r="F54" s="21" t="str">
        <f>IFERROR(Costing[[#This Row],[Minutes/Pay Run]]*Costing[[#This Row],[Payroll Factor]]/60,"")</f>
        <v/>
      </c>
      <c r="G54" s="54" t="str">
        <f>IFERROR(VLOOKUP(Costing[[#This Row],[Payroll Team]],Staff_Info[],4,0),"")</f>
        <v/>
      </c>
      <c r="H54" s="21" t="str">
        <f>IFERROR(VLOOKUP(Costing[[#This Row],[Payroll Frequency]],Frequency[],2,0),"")</f>
        <v/>
      </c>
      <c r="I54" s="55">
        <f>IFERROR(Costing[[#This Row],[Payroll Hours/Month]]*Costing[[#This Row],[Payroll Rate]],0)</f>
        <v>0</v>
      </c>
      <c r="J54" s="54" t="s">
        <v>176</v>
      </c>
      <c r="K54" s="11" t="s">
        <v>115</v>
      </c>
      <c r="L54" s="11" t="s">
        <v>157</v>
      </c>
      <c r="M54" s="11">
        <v>15</v>
      </c>
      <c r="N54" s="22">
        <f>IFERROR(Costing[[#This Row],[Minutes/Super]]*Costing[[#This Row],[Super Factor]]/60,"")</f>
        <v>8.3333333333333329E-2</v>
      </c>
      <c r="O54" s="23">
        <f>IFERROR(VLOOKUP(Costing[[#This Row],[Super Team]],Staff_Info[],4,0),"")</f>
        <v>10</v>
      </c>
      <c r="P54" s="22">
        <f>IFERROR(VLOOKUP(Costing[[#This Row],[Super Frequency]],Frequency[],2,0),"")</f>
        <v>0.33333333333333331</v>
      </c>
      <c r="Q54" s="55">
        <f>IFERROR(Costing[[#This Row],[Super Hours/Month]]*Costing[[#This Row],[Super Rate]],0)</f>
        <v>0.83333333333333326</v>
      </c>
      <c r="R54" s="11" t="s">
        <v>177</v>
      </c>
      <c r="S54" s="11" t="s">
        <v>115</v>
      </c>
      <c r="T54" s="11" t="s">
        <v>157</v>
      </c>
      <c r="U54" s="11">
        <v>60</v>
      </c>
      <c r="V54" s="22">
        <f>IFERROR(Costing[[#This Row],[Minutes/Activity]]*Costing[[#This Row],[Bookkeeping Factor]]/60,"")</f>
        <v>0.33333333333333331</v>
      </c>
      <c r="W54" s="23">
        <f>IFERROR(VLOOKUP(Costing[[#This Row],[Bookkeeping Team]],Staff_Info[],4,0),"")</f>
        <v>10</v>
      </c>
      <c r="X54" s="22">
        <f>IFERROR(VLOOKUP(Costing[[#This Row],[Bookkeeping Frequency]],Frequency[],2,0),"")</f>
        <v>0.33333333333333331</v>
      </c>
      <c r="Y54" s="55">
        <f>IFERROR(Costing[[#This Row],[Bookkeeping Hours/Month]]*Costing[[#This Row],[Bookkeeping Rate]],0)</f>
        <v>3.333333333333333</v>
      </c>
      <c r="Z54" s="11" t="s">
        <v>178</v>
      </c>
      <c r="AA54" s="11" t="s">
        <v>119</v>
      </c>
      <c r="AB54" s="11" t="s">
        <v>157</v>
      </c>
      <c r="AC54" s="11">
        <v>60</v>
      </c>
      <c r="AD54" s="22">
        <f>IFERROR(Costing[[#This Row],[Minutes/Report]]*Costing[[#This Row],[Reporting Factor]]/60,"")</f>
        <v>0.33333333333333331</v>
      </c>
      <c r="AE54" s="23">
        <f>IFERROR(VLOOKUP(Costing[[#This Row],[Reporting Team]],Staff_Info[],4,0),"")</f>
        <v>50</v>
      </c>
      <c r="AF54" s="22">
        <f>IFERROR(VLOOKUP(Costing[[#This Row],[Reporting Frequency]],Frequency[],2,0),"")</f>
        <v>0.33333333333333331</v>
      </c>
      <c r="AG54" s="55">
        <f>IFERROR(Costing[[#This Row],[Reporting Hours/Month]]*Costing[[#This Row],[Reporting Rate]],0)</f>
        <v>16.666666666666664</v>
      </c>
      <c r="AH54" s="11" t="s">
        <v>179</v>
      </c>
      <c r="AI54" s="11" t="s">
        <v>115</v>
      </c>
      <c r="AJ54" s="11" t="s">
        <v>157</v>
      </c>
      <c r="AK54" s="11">
        <v>60</v>
      </c>
      <c r="AL54" s="22">
        <f>IFERROR(Costing[[#This Row],[Minutes/BAS 1]]*Costing[[#This Row],[BAS 1 Factor]]/60,"")</f>
        <v>0.33333333333333331</v>
      </c>
      <c r="AM54" s="23">
        <f>IFERROR(VLOOKUP(Costing[[#This Row],[BAS 1 Team]],Staff_Info[],4,0),"")</f>
        <v>10</v>
      </c>
      <c r="AN54" s="22">
        <f>IFERROR(VLOOKUP(Costing[[#This Row],[BAS 1 Frequency]],Frequency[],2,0),"")</f>
        <v>0.33333333333333331</v>
      </c>
      <c r="AO54" s="55">
        <f>IFERROR(Costing[[#This Row],[BAS 1 Hours/Month]]*Costing[[#This Row],[BAS 1 Rate]],0)</f>
        <v>3.333333333333333</v>
      </c>
      <c r="AP54" s="11" t="s">
        <v>180</v>
      </c>
      <c r="AQ54" s="11" t="s">
        <v>117</v>
      </c>
      <c r="AR54" s="11" t="s">
        <v>157</v>
      </c>
      <c r="AS54" s="11">
        <v>15</v>
      </c>
      <c r="AT54" s="22">
        <f>IFERROR(Costing[[#This Row],[Minutes/BAS 2]]*Costing[[#This Row],[BAS 2 Factor]]/60,"")</f>
        <v>8.3333333333333329E-2</v>
      </c>
      <c r="AU54" s="23">
        <f>IFERROR(VLOOKUP(Costing[[#This Row],[BAS 2 Team]],Staff_Info[],4,0),"")</f>
        <v>30</v>
      </c>
      <c r="AV54" s="22">
        <f>IFERROR(VLOOKUP(Costing[[#This Row],[BAS 2 Frequency]],Frequency[],2,0),"")</f>
        <v>0.33333333333333331</v>
      </c>
      <c r="AW54" s="55">
        <f>IFERROR(Costing[[#This Row],[BAS 2 Hours/Month]]*Costing[[#This Row],[BAS 2 Rate]],0)</f>
        <v>2.5</v>
      </c>
      <c r="AX54" s="11"/>
      <c r="AY54" s="11"/>
      <c r="AZ54" s="11"/>
      <c r="BA54" s="11"/>
      <c r="BB54" s="22" t="str">
        <f>IFERROR(Costing[[#This Row],[Minutes/IAS]]*Costing[[#This Row],[IAS Factor]]/60,"")</f>
        <v/>
      </c>
      <c r="BC54" s="23" t="str">
        <f>IFERROR(VLOOKUP(Costing[[#This Row],[IAS Team]],Staff_Info[],4,0),"")</f>
        <v/>
      </c>
      <c r="BD54" s="22" t="str">
        <f>IFERROR(VLOOKUP(Costing[[#This Row],[IAS Frequency]],Frequency[],2,0),"")</f>
        <v/>
      </c>
      <c r="BE54" s="56">
        <f>IFERROR(Costing[[#This Row],[IAS Hours/Month]]*Costing[[#This Row],[IAS Rate]],0)</f>
        <v>0</v>
      </c>
      <c r="BF54" s="11" t="s">
        <v>182</v>
      </c>
      <c r="BG54" s="11" t="s">
        <v>119</v>
      </c>
      <c r="BH54" s="11">
        <v>120</v>
      </c>
      <c r="BI54" s="23">
        <f>IFERROR(VLOOKUP(Costing[[#This Row],[EOFY Team 1]],Staff_Info[],4,0),"")</f>
        <v>50</v>
      </c>
      <c r="BJ54" s="57">
        <f>Costing[[#This Row],[Time Min 1]]/12</f>
        <v>10</v>
      </c>
      <c r="BK54" s="11" t="s">
        <v>115</v>
      </c>
      <c r="BL54" s="11">
        <v>120</v>
      </c>
      <c r="BM54" s="23">
        <f>IFERROR(VLOOKUP(Costing[[#This Row],[EOFY Team 2]],Staff_Info[],4,0),"")</f>
        <v>10</v>
      </c>
      <c r="BN54" s="57">
        <f>Costing[[#This Row],[Time Min 2]]/12</f>
        <v>10</v>
      </c>
      <c r="BO54" s="55">
        <f>IFERROR((Costing[[#This Row],[EOFY 1 Min/Month]]/60*Costing[[#This Row],[EOFY Team 1 Rate]])+(Costing[[#This Row],[EOFY 2 Min/Month]]/60*Costing[[#This Row],[EOFY Team 2 Rate]]),0)</f>
        <v>9.9999999999999982</v>
      </c>
      <c r="BP54" s="11" t="s">
        <v>164</v>
      </c>
      <c r="BQ54" s="55">
        <f>IFERROR(VLOOKUP(Costing[[#This Row],[Software Name]],Software[],2,0),0)</f>
        <v>47.27</v>
      </c>
      <c r="BR54" s="59" t="s">
        <v>294</v>
      </c>
      <c r="BS54" s="11" t="s">
        <v>119</v>
      </c>
      <c r="BT54" s="60">
        <f>IF(Costing[[#This Row],[Minutes/Activity]]&gt;0,Costing[[#This Row],[Minutes/Activity]]*Costing[[#This Row],[Onboarding Factor]],"")</f>
        <v>357</v>
      </c>
      <c r="BU54" s="60">
        <f>IFERROR(Costing[[#This Row],[Onboarding Minutes]]/60,)</f>
        <v>5.95</v>
      </c>
      <c r="BV54" s="60">
        <f t="shared" si="2"/>
        <v>79.92</v>
      </c>
      <c r="BW54" s="61">
        <f>IFERROR(VLOOKUP(Costing[[#This Row],[Onboarding Team]],Staff_Info[],4,0),"")</f>
        <v>50</v>
      </c>
      <c r="BX54" s="60">
        <f t="shared" si="3"/>
        <v>5.95</v>
      </c>
      <c r="BY54" s="55">
        <f>IFERROR(Costing[[#This Row],[Onboarding Hours]]/Costing[[#This Row],[Client Life Expectancy (Months)]]*Costing[[#This Row],[Onboarding Rate]],0)</f>
        <v>3.7224724724724725</v>
      </c>
      <c r="BZ54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40.389139139139132</v>
      </c>
      <c r="CA54" s="27">
        <v>70</v>
      </c>
      <c r="CB54" s="63">
        <f>IFERROR((Costing[[#This Row],[Current Sales Price]]-Costing[[#This Row],[Total  Cost excl. Software]])/Costing[[#This Row],[Current Sales Price]],)</f>
        <v>0.42301229801229812</v>
      </c>
      <c r="CC54" s="64">
        <f>Costing[[#This Row],[Total  Cost excl. Software]]/(1-$CC$1)</f>
        <v>115.39754039754038</v>
      </c>
    </row>
    <row r="55" spans="1:81" x14ac:dyDescent="0.2">
      <c r="A55" s="11" t="s">
        <v>57</v>
      </c>
      <c r="B55" s="48"/>
      <c r="C55" s="17"/>
      <c r="D55" s="17"/>
      <c r="E55" s="17"/>
      <c r="F55" s="21" t="str">
        <f>IFERROR(Costing[[#This Row],[Minutes/Pay Run]]*Costing[[#This Row],[Payroll Factor]]/60,"")</f>
        <v/>
      </c>
      <c r="G55" s="54" t="str">
        <f>IFERROR(VLOOKUP(Costing[[#This Row],[Payroll Team]],Staff_Info[],4,0),"")</f>
        <v/>
      </c>
      <c r="H55" s="21" t="str">
        <f>IFERROR(VLOOKUP(Costing[[#This Row],[Payroll Frequency]],Frequency[],2,0),"")</f>
        <v/>
      </c>
      <c r="I55" s="55">
        <f>IFERROR(Costing[[#This Row],[Payroll Hours/Month]]*Costing[[#This Row],[Payroll Rate]],0)</f>
        <v>0</v>
      </c>
      <c r="J55" s="54"/>
      <c r="K55" s="11"/>
      <c r="L55" s="11"/>
      <c r="M55" s="11"/>
      <c r="N55" s="22" t="str">
        <f>IFERROR(Costing[[#This Row],[Minutes/Super]]*Costing[[#This Row],[Super Factor]]/60,"")</f>
        <v/>
      </c>
      <c r="O55" s="23" t="str">
        <f>IFERROR(VLOOKUP(Costing[[#This Row],[Super Team]],Staff_Info[],4,0),"")</f>
        <v/>
      </c>
      <c r="P55" s="22" t="str">
        <f>IFERROR(VLOOKUP(Costing[[#This Row],[Super Frequency]],Frequency[],2,0),"")</f>
        <v/>
      </c>
      <c r="Q55" s="55">
        <f>IFERROR(Costing[[#This Row],[Super Hours/Month]]*Costing[[#This Row],[Super Rate]],0)</f>
        <v>0</v>
      </c>
      <c r="R55" s="11" t="s">
        <v>177</v>
      </c>
      <c r="S55" s="11" t="s">
        <v>117</v>
      </c>
      <c r="T55" s="11" t="s">
        <v>183</v>
      </c>
      <c r="U55" s="11">
        <v>60</v>
      </c>
      <c r="V55" s="22">
        <f>IFERROR(Costing[[#This Row],[Minutes/Activity]]*Costing[[#This Row],[Bookkeeping Factor]]/60,"")</f>
        <v>1</v>
      </c>
      <c r="W55" s="23">
        <f>IFERROR(VLOOKUP(Costing[[#This Row],[Bookkeeping Team]],Staff_Info[],4,0),"")</f>
        <v>30</v>
      </c>
      <c r="X55" s="22">
        <f>IFERROR(VLOOKUP(Costing[[#This Row],[Bookkeeping Frequency]],Frequency[],2,0),"")</f>
        <v>1</v>
      </c>
      <c r="Y55" s="55">
        <f>IFERROR(Costing[[#This Row],[Bookkeeping Hours/Month]]*Costing[[#This Row],[Bookkeeping Rate]],0)</f>
        <v>30</v>
      </c>
      <c r="Z55" s="11" t="s">
        <v>178</v>
      </c>
      <c r="AA55" s="11" t="s">
        <v>126</v>
      </c>
      <c r="AB55" s="11" t="s">
        <v>183</v>
      </c>
      <c r="AC55" s="11">
        <v>600</v>
      </c>
      <c r="AD55" s="22">
        <f>IFERROR(Costing[[#This Row],[Minutes/Report]]*Costing[[#This Row],[Reporting Factor]]/60,"")</f>
        <v>10</v>
      </c>
      <c r="AE55" s="23">
        <f>IFERROR(VLOOKUP(Costing[[#This Row],[Reporting Team]],Staff_Info[],4,0),"")</f>
        <v>50</v>
      </c>
      <c r="AF55" s="22">
        <f>IFERROR(VLOOKUP(Costing[[#This Row],[Reporting Frequency]],Frequency[],2,0),"")</f>
        <v>1</v>
      </c>
      <c r="AG55" s="55">
        <f>IFERROR(Costing[[#This Row],[Reporting Hours/Month]]*Costing[[#This Row],[Reporting Rate]],0)</f>
        <v>500</v>
      </c>
      <c r="AH55" s="11" t="s">
        <v>179</v>
      </c>
      <c r="AI55" s="11" t="s">
        <v>117</v>
      </c>
      <c r="AJ55" s="11" t="s">
        <v>157</v>
      </c>
      <c r="AK55" s="11">
        <v>60</v>
      </c>
      <c r="AL55" s="22">
        <f>IFERROR(Costing[[#This Row],[Minutes/BAS 1]]*Costing[[#This Row],[BAS 1 Factor]]/60,"")</f>
        <v>0.33333333333333331</v>
      </c>
      <c r="AM55" s="23">
        <f>IFERROR(VLOOKUP(Costing[[#This Row],[BAS 1 Team]],Staff_Info[],4,0),"")</f>
        <v>30</v>
      </c>
      <c r="AN55" s="22">
        <f>IFERROR(VLOOKUP(Costing[[#This Row],[BAS 1 Frequency]],Frequency[],2,0),"")</f>
        <v>0.33333333333333331</v>
      </c>
      <c r="AO55" s="55">
        <f>IFERROR(Costing[[#This Row],[BAS 1 Hours/Month]]*Costing[[#This Row],[BAS 1 Rate]],0)</f>
        <v>10</v>
      </c>
      <c r="AP55" s="11" t="s">
        <v>180</v>
      </c>
      <c r="AQ55" s="11" t="s">
        <v>117</v>
      </c>
      <c r="AR55" s="11" t="s">
        <v>157</v>
      </c>
      <c r="AS55" s="11">
        <v>15</v>
      </c>
      <c r="AT55" s="22">
        <f>IFERROR(Costing[[#This Row],[Minutes/BAS 2]]*Costing[[#This Row],[BAS 2 Factor]]/60,"")</f>
        <v>8.3333333333333329E-2</v>
      </c>
      <c r="AU55" s="23">
        <f>IFERROR(VLOOKUP(Costing[[#This Row],[BAS 2 Team]],Staff_Info[],4,0),"")</f>
        <v>30</v>
      </c>
      <c r="AV55" s="22">
        <f>IFERROR(VLOOKUP(Costing[[#This Row],[BAS 2 Frequency]],Frequency[],2,0),"")</f>
        <v>0.33333333333333331</v>
      </c>
      <c r="AW55" s="55">
        <f>IFERROR(Costing[[#This Row],[BAS 2 Hours/Month]]*Costing[[#This Row],[BAS 2 Rate]],0)</f>
        <v>2.5</v>
      </c>
      <c r="AX55" s="11" t="s">
        <v>181</v>
      </c>
      <c r="AY55" s="11" t="s">
        <v>117</v>
      </c>
      <c r="AZ55" s="11" t="s">
        <v>183</v>
      </c>
      <c r="BA55" s="11">
        <v>30</v>
      </c>
      <c r="BB55" s="22">
        <f>IFERROR(Costing[[#This Row],[Minutes/IAS]]*Costing[[#This Row],[IAS Factor]]/60,"")</f>
        <v>0.5</v>
      </c>
      <c r="BC55" s="23">
        <f>IFERROR(VLOOKUP(Costing[[#This Row],[IAS Team]],Staff_Info[],4,0),"")</f>
        <v>30</v>
      </c>
      <c r="BD55" s="22">
        <f>IFERROR(VLOOKUP(Costing[[#This Row],[IAS Frequency]],Frequency[],2,0),"")</f>
        <v>1</v>
      </c>
      <c r="BE55" s="56">
        <f>IFERROR(Costing[[#This Row],[IAS Hours/Month]]*Costing[[#This Row],[IAS Rate]],0)</f>
        <v>15</v>
      </c>
      <c r="BF55" s="11" t="s">
        <v>182</v>
      </c>
      <c r="BG55" s="11" t="s">
        <v>126</v>
      </c>
      <c r="BH55" s="11">
        <v>150</v>
      </c>
      <c r="BI55" s="23">
        <f>IFERROR(VLOOKUP(Costing[[#This Row],[EOFY Team 1]],Staff_Info[],4,0),"")</f>
        <v>50</v>
      </c>
      <c r="BJ55" s="57">
        <f>Costing[[#This Row],[Time Min 1]]/12</f>
        <v>12.5</v>
      </c>
      <c r="BK55" s="11" t="s">
        <v>117</v>
      </c>
      <c r="BL55" s="11">
        <v>150</v>
      </c>
      <c r="BM55" s="23">
        <f>IFERROR(VLOOKUP(Costing[[#This Row],[EOFY Team 2]],Staff_Info[],4,0),"")</f>
        <v>30</v>
      </c>
      <c r="BN55" s="57">
        <f>Costing[[#This Row],[Time Min 2]]/12</f>
        <v>12.5</v>
      </c>
      <c r="BO55" s="55">
        <f>IFERROR((Costing[[#This Row],[EOFY 1 Min/Month]]/60*Costing[[#This Row],[EOFY Team 1 Rate]])+(Costing[[#This Row],[EOFY 2 Min/Month]]/60*Costing[[#This Row],[EOFY Team 2 Rate]]),0)</f>
        <v>16.666666666666668</v>
      </c>
      <c r="BP55" s="11"/>
      <c r="BQ55" s="55">
        <f>IFERROR(VLOOKUP(Costing[[#This Row],[Software Name]],Software[],2,0),0)</f>
        <v>0</v>
      </c>
      <c r="BR55" s="59" t="s">
        <v>294</v>
      </c>
      <c r="BS55" s="11" t="s">
        <v>126</v>
      </c>
      <c r="BT55" s="60">
        <f>IF(Costing[[#This Row],[Minutes/Activity]]&gt;0,Costing[[#This Row],[Minutes/Activity]]*Costing[[#This Row],[Onboarding Factor]],"")</f>
        <v>357</v>
      </c>
      <c r="BU55" s="60">
        <f>IFERROR(Costing[[#This Row],[Onboarding Minutes]]/60,)</f>
        <v>5.95</v>
      </c>
      <c r="BV55" s="60">
        <f t="shared" si="2"/>
        <v>79.92</v>
      </c>
      <c r="BW55" s="61">
        <f>IFERROR(VLOOKUP(Costing[[#This Row],[Onboarding Team]],Staff_Info[],4,0),"")</f>
        <v>50</v>
      </c>
      <c r="BX55" s="60">
        <f t="shared" si="3"/>
        <v>5.95</v>
      </c>
      <c r="BY55" s="55">
        <f>IFERROR(Costing[[#This Row],[Onboarding Hours]]/Costing[[#This Row],[Client Life Expectancy (Months)]]*Costing[[#This Row],[Onboarding Rate]],0)</f>
        <v>3.7224724724724725</v>
      </c>
      <c r="BZ55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577.88913913913905</v>
      </c>
      <c r="CA55" s="27">
        <v>1186.25</v>
      </c>
      <c r="CB55" s="63">
        <f>IFERROR((Costing[[#This Row],[Current Sales Price]]-Costing[[#This Row],[Total  Cost excl. Software]])/Costing[[#This Row],[Current Sales Price]],)</f>
        <v>0.51284371832317044</v>
      </c>
      <c r="CC55" s="64">
        <f>Costing[[#This Row],[Total  Cost excl. Software]]/(1-$CC$1)</f>
        <v>1651.1118261118258</v>
      </c>
    </row>
    <row r="56" spans="1:81" x14ac:dyDescent="0.2">
      <c r="A56" s="11" t="s">
        <v>58</v>
      </c>
      <c r="B56" s="48"/>
      <c r="C56" s="17"/>
      <c r="D56" s="17"/>
      <c r="E56" s="17"/>
      <c r="F56" s="21" t="str">
        <f>IFERROR(Costing[[#This Row],[Minutes/Pay Run]]*Costing[[#This Row],[Payroll Factor]]/60,"")</f>
        <v/>
      </c>
      <c r="G56" s="54" t="str">
        <f>IFERROR(VLOOKUP(Costing[[#This Row],[Payroll Team]],Staff_Info[],4,0),"")</f>
        <v/>
      </c>
      <c r="H56" s="21" t="str">
        <f>IFERROR(VLOOKUP(Costing[[#This Row],[Payroll Frequency]],Frequency[],2,0),"")</f>
        <v/>
      </c>
      <c r="I56" s="55">
        <f>IFERROR(Costing[[#This Row],[Payroll Hours/Month]]*Costing[[#This Row],[Payroll Rate]],0)</f>
        <v>0</v>
      </c>
      <c r="J56" s="54" t="s">
        <v>176</v>
      </c>
      <c r="K56" s="11" t="s">
        <v>117</v>
      </c>
      <c r="L56" s="11" t="s">
        <v>157</v>
      </c>
      <c r="M56" s="11">
        <v>15</v>
      </c>
      <c r="N56" s="22">
        <f>IFERROR(Costing[[#This Row],[Minutes/Super]]*Costing[[#This Row],[Super Factor]]/60,"")</f>
        <v>8.3333333333333329E-2</v>
      </c>
      <c r="O56" s="23">
        <f>IFERROR(VLOOKUP(Costing[[#This Row],[Super Team]],Staff_Info[],4,0),"")</f>
        <v>30</v>
      </c>
      <c r="P56" s="22">
        <f>IFERROR(VLOOKUP(Costing[[#This Row],[Super Frequency]],Frequency[],2,0),"")</f>
        <v>0.33333333333333331</v>
      </c>
      <c r="Q56" s="55">
        <f>IFERROR(Costing[[#This Row],[Super Hours/Month]]*Costing[[#This Row],[Super Rate]],0)</f>
        <v>2.5</v>
      </c>
      <c r="R56" s="11" t="s">
        <v>177</v>
      </c>
      <c r="S56" s="11" t="s">
        <v>117</v>
      </c>
      <c r="T56" s="11" t="s">
        <v>183</v>
      </c>
      <c r="U56" s="11">
        <v>158</v>
      </c>
      <c r="V56" s="22">
        <f>IFERROR(Costing[[#This Row],[Minutes/Activity]]*Costing[[#This Row],[Bookkeeping Factor]]/60,"")</f>
        <v>2.6333333333333333</v>
      </c>
      <c r="W56" s="23">
        <f>IFERROR(VLOOKUP(Costing[[#This Row],[Bookkeeping Team]],Staff_Info[],4,0),"")</f>
        <v>30</v>
      </c>
      <c r="X56" s="22">
        <f>IFERROR(VLOOKUP(Costing[[#This Row],[Bookkeeping Frequency]],Frequency[],2,0),"")</f>
        <v>1</v>
      </c>
      <c r="Y56" s="55">
        <f>IFERROR(Costing[[#This Row],[Bookkeeping Hours/Month]]*Costing[[#This Row],[Bookkeeping Rate]],0)</f>
        <v>79</v>
      </c>
      <c r="Z56" s="11" t="s">
        <v>178</v>
      </c>
      <c r="AA56" s="11" t="s">
        <v>126</v>
      </c>
      <c r="AB56" s="11" t="s">
        <v>183</v>
      </c>
      <c r="AC56" s="11">
        <v>10</v>
      </c>
      <c r="AD56" s="22">
        <f>IFERROR(Costing[[#This Row],[Minutes/Report]]*Costing[[#This Row],[Reporting Factor]]/60,"")</f>
        <v>0.16666666666666666</v>
      </c>
      <c r="AE56" s="23">
        <f>IFERROR(VLOOKUP(Costing[[#This Row],[Reporting Team]],Staff_Info[],4,0),"")</f>
        <v>50</v>
      </c>
      <c r="AF56" s="22">
        <f>IFERROR(VLOOKUP(Costing[[#This Row],[Reporting Frequency]],Frequency[],2,0),"")</f>
        <v>1</v>
      </c>
      <c r="AG56" s="55">
        <f>IFERROR(Costing[[#This Row],[Reporting Hours/Month]]*Costing[[#This Row],[Reporting Rate]],0)</f>
        <v>8.3333333333333321</v>
      </c>
      <c r="AH56" s="11" t="s">
        <v>179</v>
      </c>
      <c r="AI56" s="11" t="s">
        <v>117</v>
      </c>
      <c r="AJ56" s="11" t="s">
        <v>157</v>
      </c>
      <c r="AK56" s="11">
        <v>60</v>
      </c>
      <c r="AL56" s="22">
        <f>IFERROR(Costing[[#This Row],[Minutes/BAS 1]]*Costing[[#This Row],[BAS 1 Factor]]/60,"")</f>
        <v>0.33333333333333331</v>
      </c>
      <c r="AM56" s="23">
        <f>IFERROR(VLOOKUP(Costing[[#This Row],[BAS 1 Team]],Staff_Info[],4,0),"")</f>
        <v>30</v>
      </c>
      <c r="AN56" s="22">
        <f>IFERROR(VLOOKUP(Costing[[#This Row],[BAS 1 Frequency]],Frequency[],2,0),"")</f>
        <v>0.33333333333333331</v>
      </c>
      <c r="AO56" s="55">
        <f>IFERROR(Costing[[#This Row],[BAS 1 Hours/Month]]*Costing[[#This Row],[BAS 1 Rate]],0)</f>
        <v>10</v>
      </c>
      <c r="AP56" s="11" t="s">
        <v>180</v>
      </c>
      <c r="AQ56" s="11" t="s">
        <v>117</v>
      </c>
      <c r="AR56" s="11" t="s">
        <v>157</v>
      </c>
      <c r="AS56" s="11">
        <v>15</v>
      </c>
      <c r="AT56" s="22">
        <f>IFERROR(Costing[[#This Row],[Minutes/BAS 2]]*Costing[[#This Row],[BAS 2 Factor]]/60,"")</f>
        <v>8.3333333333333329E-2</v>
      </c>
      <c r="AU56" s="23">
        <f>IFERROR(VLOOKUP(Costing[[#This Row],[BAS 2 Team]],Staff_Info[],4,0),"")</f>
        <v>30</v>
      </c>
      <c r="AV56" s="22">
        <f>IFERROR(VLOOKUP(Costing[[#This Row],[BAS 2 Frequency]],Frequency[],2,0),"")</f>
        <v>0.33333333333333331</v>
      </c>
      <c r="AW56" s="55">
        <f>IFERROR(Costing[[#This Row],[BAS 2 Hours/Month]]*Costing[[#This Row],[BAS 2 Rate]],0)</f>
        <v>2.5</v>
      </c>
      <c r="AX56" s="11"/>
      <c r="AY56" s="11"/>
      <c r="AZ56" s="11"/>
      <c r="BA56" s="11"/>
      <c r="BB56" s="22" t="str">
        <f>IFERROR(Costing[[#This Row],[Minutes/IAS]]*Costing[[#This Row],[IAS Factor]]/60,"")</f>
        <v/>
      </c>
      <c r="BC56" s="23" t="str">
        <f>IFERROR(VLOOKUP(Costing[[#This Row],[IAS Team]],Staff_Info[],4,0),"")</f>
        <v/>
      </c>
      <c r="BD56" s="22" t="str">
        <f>IFERROR(VLOOKUP(Costing[[#This Row],[IAS Frequency]],Frequency[],2,0),"")</f>
        <v/>
      </c>
      <c r="BE56" s="56">
        <f>IFERROR(Costing[[#This Row],[IAS Hours/Month]]*Costing[[#This Row],[IAS Rate]],0)</f>
        <v>0</v>
      </c>
      <c r="BF56" s="11" t="s">
        <v>182</v>
      </c>
      <c r="BG56" s="11" t="s">
        <v>117</v>
      </c>
      <c r="BH56" s="11">
        <v>120</v>
      </c>
      <c r="BI56" s="23">
        <f>IFERROR(VLOOKUP(Costing[[#This Row],[EOFY Team 1]],Staff_Info[],4,0),"")</f>
        <v>30</v>
      </c>
      <c r="BJ56" s="57">
        <f>Costing[[#This Row],[Time Min 1]]/12</f>
        <v>10</v>
      </c>
      <c r="BK56" s="11" t="s">
        <v>126</v>
      </c>
      <c r="BL56" s="11">
        <v>60</v>
      </c>
      <c r="BM56" s="23">
        <f>IFERROR(VLOOKUP(Costing[[#This Row],[EOFY Team 2]],Staff_Info[],4,0),"")</f>
        <v>50</v>
      </c>
      <c r="BN56" s="57">
        <f>Costing[[#This Row],[Time Min 2]]/12</f>
        <v>5</v>
      </c>
      <c r="BO56" s="55">
        <f>IFERROR((Costing[[#This Row],[EOFY 1 Min/Month]]/60*Costing[[#This Row],[EOFY Team 1 Rate]])+(Costing[[#This Row],[EOFY 2 Min/Month]]/60*Costing[[#This Row],[EOFY Team 2 Rate]]),0)</f>
        <v>9.1666666666666661</v>
      </c>
      <c r="BP56" s="11" t="s">
        <v>171</v>
      </c>
      <c r="BQ56" s="55">
        <f>IFERROR(VLOOKUP(Costing[[#This Row],[Software Name]],Software[],2,0),0)</f>
        <v>18.190000000000001</v>
      </c>
      <c r="BR56" s="59" t="s">
        <v>294</v>
      </c>
      <c r="BS56" s="11" t="s">
        <v>126</v>
      </c>
      <c r="BT56" s="60">
        <f>IF(Costing[[#This Row],[Minutes/Activity]]&gt;0,Costing[[#This Row],[Minutes/Activity]]*Costing[[#This Row],[Onboarding Factor]],"")</f>
        <v>940.1</v>
      </c>
      <c r="BU56" s="60">
        <f>IFERROR(Costing[[#This Row],[Onboarding Minutes]]/60,)</f>
        <v>15.668333333333333</v>
      </c>
      <c r="BV56" s="60">
        <f t="shared" si="2"/>
        <v>79.92</v>
      </c>
      <c r="BW56" s="61">
        <f>IFERROR(VLOOKUP(Costing[[#This Row],[Onboarding Team]],Staff_Info[],4,0),"")</f>
        <v>50</v>
      </c>
      <c r="BX56" s="60">
        <f t="shared" si="3"/>
        <v>5.95</v>
      </c>
      <c r="BY56" s="55">
        <f>IFERROR(Costing[[#This Row],[Onboarding Hours]]/Costing[[#This Row],[Client Life Expectancy (Months)]]*Costing[[#This Row],[Onboarding Rate]],0)</f>
        <v>9.80251084417751</v>
      </c>
      <c r="BZ56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121.3025108441775</v>
      </c>
      <c r="CA56" s="27">
        <v>204.58</v>
      </c>
      <c r="CB56" s="63">
        <f>IFERROR((Costing[[#This Row],[Current Sales Price]]-Costing[[#This Row],[Total  Cost excl. Software]])/Costing[[#This Row],[Current Sales Price]],)</f>
        <v>0.40706564256438804</v>
      </c>
      <c r="CC56" s="64">
        <f>Costing[[#This Row],[Total  Cost excl. Software]]/(1-$CC$1)</f>
        <v>346.57860241193578</v>
      </c>
    </row>
    <row r="57" spans="1:81" x14ac:dyDescent="0.2">
      <c r="A57" s="11" t="s">
        <v>60</v>
      </c>
      <c r="B57" s="48" t="s">
        <v>145</v>
      </c>
      <c r="C57" s="17" t="s">
        <v>115</v>
      </c>
      <c r="D57" s="17" t="s">
        <v>154</v>
      </c>
      <c r="E57" s="17">
        <v>15</v>
      </c>
      <c r="F57" s="21">
        <f>IFERROR(Costing[[#This Row],[Minutes/Pay Run]]*Costing[[#This Row],[Payroll Factor]]/60,"")</f>
        <v>1.0833333333333333</v>
      </c>
      <c r="G57" s="54">
        <f>IFERROR(VLOOKUP(Costing[[#This Row],[Payroll Team]],Staff_Info[],4,0),"")</f>
        <v>10</v>
      </c>
      <c r="H57" s="21">
        <f>IFERROR(VLOOKUP(Costing[[#This Row],[Payroll Frequency]],Frequency[],2,0),"")</f>
        <v>4.333333333333333</v>
      </c>
      <c r="I57" s="55">
        <f>IFERROR(Costing[[#This Row],[Payroll Hours/Month]]*Costing[[#This Row],[Payroll Rate]],0)</f>
        <v>10.833333333333332</v>
      </c>
      <c r="J57" s="54" t="s">
        <v>176</v>
      </c>
      <c r="K57" s="11" t="s">
        <v>115</v>
      </c>
      <c r="L57" s="11" t="s">
        <v>183</v>
      </c>
      <c r="M57" s="11">
        <v>10</v>
      </c>
      <c r="N57" s="22">
        <f>IFERROR(Costing[[#This Row],[Minutes/Super]]*Costing[[#This Row],[Super Factor]]/60,"")</f>
        <v>0.16666666666666666</v>
      </c>
      <c r="O57" s="23">
        <f>IFERROR(VLOOKUP(Costing[[#This Row],[Super Team]],Staff_Info[],4,0),"")</f>
        <v>10</v>
      </c>
      <c r="P57" s="22">
        <f>IFERROR(VLOOKUP(Costing[[#This Row],[Super Frequency]],Frequency[],2,0),"")</f>
        <v>1</v>
      </c>
      <c r="Q57" s="55">
        <f>IFERROR(Costing[[#This Row],[Super Hours/Month]]*Costing[[#This Row],[Super Rate]],0)</f>
        <v>1.6666666666666665</v>
      </c>
      <c r="R57" s="11" t="s">
        <v>177</v>
      </c>
      <c r="S57" s="11" t="s">
        <v>115</v>
      </c>
      <c r="T57" s="11" t="s">
        <v>183</v>
      </c>
      <c r="U57" s="11">
        <v>172</v>
      </c>
      <c r="V57" s="22">
        <f>IFERROR(Costing[[#This Row],[Minutes/Activity]]*Costing[[#This Row],[Bookkeeping Factor]]/60,"")</f>
        <v>2.8666666666666667</v>
      </c>
      <c r="W57" s="23">
        <f>IFERROR(VLOOKUP(Costing[[#This Row],[Bookkeeping Team]],Staff_Info[],4,0),"")</f>
        <v>10</v>
      </c>
      <c r="X57" s="22">
        <f>IFERROR(VLOOKUP(Costing[[#This Row],[Bookkeeping Frequency]],Frequency[],2,0),"")</f>
        <v>1</v>
      </c>
      <c r="Y57" s="55">
        <f>IFERROR(Costing[[#This Row],[Bookkeeping Hours/Month]]*Costing[[#This Row],[Bookkeeping Rate]],0)</f>
        <v>28.666666666666668</v>
      </c>
      <c r="Z57" s="11" t="s">
        <v>178</v>
      </c>
      <c r="AA57" s="11" t="s">
        <v>126</v>
      </c>
      <c r="AB57" s="11" t="s">
        <v>183</v>
      </c>
      <c r="AC57" s="11">
        <v>30</v>
      </c>
      <c r="AD57" s="22">
        <f>IFERROR(Costing[[#This Row],[Minutes/Report]]*Costing[[#This Row],[Reporting Factor]]/60,"")</f>
        <v>0.5</v>
      </c>
      <c r="AE57" s="23">
        <f>IFERROR(VLOOKUP(Costing[[#This Row],[Reporting Team]],Staff_Info[],4,0),"")</f>
        <v>50</v>
      </c>
      <c r="AF57" s="22">
        <f>IFERROR(VLOOKUP(Costing[[#This Row],[Reporting Frequency]],Frequency[],2,0),"")</f>
        <v>1</v>
      </c>
      <c r="AG57" s="55">
        <f>IFERROR(Costing[[#This Row],[Reporting Hours/Month]]*Costing[[#This Row],[Reporting Rate]],0)</f>
        <v>25</v>
      </c>
      <c r="AH57" s="11" t="s">
        <v>179</v>
      </c>
      <c r="AI57" s="11" t="s">
        <v>115</v>
      </c>
      <c r="AJ57" s="11" t="s">
        <v>183</v>
      </c>
      <c r="AK57" s="11">
        <v>20</v>
      </c>
      <c r="AL57" s="22">
        <f>IFERROR(Costing[[#This Row],[Minutes/BAS 1]]*Costing[[#This Row],[BAS 1 Factor]]/60,"")</f>
        <v>0.33333333333333331</v>
      </c>
      <c r="AM57" s="23">
        <f>IFERROR(VLOOKUP(Costing[[#This Row],[BAS 1 Team]],Staff_Info[],4,0),"")</f>
        <v>10</v>
      </c>
      <c r="AN57" s="22">
        <f>IFERROR(VLOOKUP(Costing[[#This Row],[BAS 1 Frequency]],Frequency[],2,0),"")</f>
        <v>1</v>
      </c>
      <c r="AO57" s="55">
        <f>IFERROR(Costing[[#This Row],[BAS 1 Hours/Month]]*Costing[[#This Row],[BAS 1 Rate]],0)</f>
        <v>3.333333333333333</v>
      </c>
      <c r="AP57" s="11" t="s">
        <v>180</v>
      </c>
      <c r="AQ57" s="11" t="s">
        <v>117</v>
      </c>
      <c r="AR57" s="11" t="s">
        <v>183</v>
      </c>
      <c r="AS57" s="11">
        <v>5</v>
      </c>
      <c r="AT57" s="22">
        <f>IFERROR(Costing[[#This Row],[Minutes/BAS 2]]*Costing[[#This Row],[BAS 2 Factor]]/60,"")</f>
        <v>8.3333333333333329E-2</v>
      </c>
      <c r="AU57" s="23">
        <f>IFERROR(VLOOKUP(Costing[[#This Row],[BAS 2 Team]],Staff_Info[],4,0),"")</f>
        <v>30</v>
      </c>
      <c r="AV57" s="22">
        <f>IFERROR(VLOOKUP(Costing[[#This Row],[BAS 2 Frequency]],Frequency[],2,0),"")</f>
        <v>1</v>
      </c>
      <c r="AW57" s="55">
        <f>IFERROR(Costing[[#This Row],[BAS 2 Hours/Month]]*Costing[[#This Row],[BAS 2 Rate]],0)</f>
        <v>2.5</v>
      </c>
      <c r="AX57" s="11" t="s">
        <v>181</v>
      </c>
      <c r="AY57" s="11" t="s">
        <v>115</v>
      </c>
      <c r="AZ57" s="11" t="s">
        <v>183</v>
      </c>
      <c r="BA57" s="11">
        <v>30</v>
      </c>
      <c r="BB57" s="22">
        <f>IFERROR(Costing[[#This Row],[Minutes/IAS]]*Costing[[#This Row],[IAS Factor]]/60,"")</f>
        <v>0.5</v>
      </c>
      <c r="BC57" s="23">
        <f>IFERROR(VLOOKUP(Costing[[#This Row],[IAS Team]],Staff_Info[],4,0),"")</f>
        <v>10</v>
      </c>
      <c r="BD57" s="22">
        <f>IFERROR(VLOOKUP(Costing[[#This Row],[IAS Frequency]],Frequency[],2,0),"")</f>
        <v>1</v>
      </c>
      <c r="BE57" s="56">
        <f>IFERROR(Costing[[#This Row],[IAS Hours/Month]]*Costing[[#This Row],[IAS Rate]],0)</f>
        <v>5</v>
      </c>
      <c r="BF57" s="11" t="s">
        <v>182</v>
      </c>
      <c r="BG57" s="11" t="s">
        <v>126</v>
      </c>
      <c r="BH57" s="11">
        <v>120</v>
      </c>
      <c r="BI57" s="23">
        <f>IFERROR(VLOOKUP(Costing[[#This Row],[EOFY Team 1]],Staff_Info[],4,0),"")</f>
        <v>50</v>
      </c>
      <c r="BJ57" s="57">
        <f>Costing[[#This Row],[Time Min 1]]/12</f>
        <v>10</v>
      </c>
      <c r="BK57" s="11" t="s">
        <v>115</v>
      </c>
      <c r="BL57" s="11">
        <v>150</v>
      </c>
      <c r="BM57" s="23">
        <f>IFERROR(VLOOKUP(Costing[[#This Row],[EOFY Team 2]],Staff_Info[],4,0),"")</f>
        <v>10</v>
      </c>
      <c r="BN57" s="57">
        <f>Costing[[#This Row],[Time Min 2]]/12</f>
        <v>12.5</v>
      </c>
      <c r="BO57" s="55">
        <f>IFERROR((Costing[[#This Row],[EOFY 1 Min/Month]]/60*Costing[[#This Row],[EOFY Team 1 Rate]])+(Costing[[#This Row],[EOFY 2 Min/Month]]/60*Costing[[#This Row],[EOFY Team 2 Rate]]),0)</f>
        <v>10.416666666666666</v>
      </c>
      <c r="BP57" s="11" t="s">
        <v>165</v>
      </c>
      <c r="BQ57" s="55">
        <f>IFERROR(VLOOKUP(Costing[[#This Row],[Software Name]],Software[],2,0),0)</f>
        <v>54.4</v>
      </c>
      <c r="BR57" s="59" t="s">
        <v>294</v>
      </c>
      <c r="BS57" s="11" t="s">
        <v>126</v>
      </c>
      <c r="BT57" s="60">
        <f>IF(Costing[[#This Row],[Minutes/Activity]]&gt;0,Costing[[#This Row],[Minutes/Activity]]*Costing[[#This Row],[Onboarding Factor]],"")</f>
        <v>1023.4</v>
      </c>
      <c r="BU57" s="60">
        <f>IFERROR(Costing[[#This Row],[Onboarding Minutes]]/60,)</f>
        <v>17.056666666666665</v>
      </c>
      <c r="BV57" s="60">
        <f t="shared" si="2"/>
        <v>79.92</v>
      </c>
      <c r="BW57" s="61">
        <f>IFERROR(VLOOKUP(Costing[[#This Row],[Onboarding Team]],Staff_Info[],4,0),"")</f>
        <v>50</v>
      </c>
      <c r="BX57" s="60">
        <f t="shared" si="3"/>
        <v>5.95</v>
      </c>
      <c r="BY57" s="55">
        <f>IFERROR(Costing[[#This Row],[Onboarding Hours]]/Costing[[#This Row],[Client Life Expectancy (Months)]]*Costing[[#This Row],[Onboarding Rate]],0)</f>
        <v>10.671087754421087</v>
      </c>
      <c r="BZ57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98.087754421087737</v>
      </c>
      <c r="CA57" s="27">
        <v>387.27</v>
      </c>
      <c r="CB57" s="63">
        <f>IFERROR((Costing[[#This Row],[Current Sales Price]]-Costing[[#This Row],[Total  Cost excl. Software]])/Costing[[#This Row],[Current Sales Price]],)</f>
        <v>0.74671997722238292</v>
      </c>
      <c r="CC57" s="64">
        <f>Costing[[#This Row],[Total  Cost excl. Software]]/(1-$CC$1)</f>
        <v>280.25072691739354</v>
      </c>
    </row>
    <row r="58" spans="1:81" x14ac:dyDescent="0.2">
      <c r="A58" s="11" t="s">
        <v>274</v>
      </c>
      <c r="B58" s="48" t="s">
        <v>145</v>
      </c>
      <c r="C58" s="17" t="s">
        <v>118</v>
      </c>
      <c r="D58" s="17" t="s">
        <v>154</v>
      </c>
      <c r="E58" s="17">
        <v>20</v>
      </c>
      <c r="F58" s="21">
        <f>IFERROR(Costing[[#This Row],[Minutes/Pay Run]]*Costing[[#This Row],[Payroll Factor]]/60,"")</f>
        <v>1.4444444444444442</v>
      </c>
      <c r="G58" s="54">
        <f>IFERROR(VLOOKUP(Costing[[#This Row],[Payroll Team]],Staff_Info[],4,0),"")</f>
        <v>10</v>
      </c>
      <c r="H58" s="21">
        <f>IFERROR(VLOOKUP(Costing[[#This Row],[Payroll Frequency]],Frequency[],2,0),"")</f>
        <v>4.333333333333333</v>
      </c>
      <c r="I58" s="55">
        <f>IFERROR(Costing[[#This Row],[Payroll Hours/Month]]*Costing[[#This Row],[Payroll Rate]],0)</f>
        <v>14.444444444444443</v>
      </c>
      <c r="J58" s="54" t="s">
        <v>176</v>
      </c>
      <c r="K58" s="11" t="s">
        <v>118</v>
      </c>
      <c r="L58" s="11" t="s">
        <v>157</v>
      </c>
      <c r="M58" s="11">
        <v>15</v>
      </c>
      <c r="N58" s="22">
        <f>IFERROR(Costing[[#This Row],[Minutes/Super]]*Costing[[#This Row],[Super Factor]]/60,"")</f>
        <v>8.3333333333333329E-2</v>
      </c>
      <c r="O58" s="23">
        <f>IFERROR(VLOOKUP(Costing[[#This Row],[Super Team]],Staff_Info[],4,0),"")</f>
        <v>10</v>
      </c>
      <c r="P58" s="22">
        <f>IFERROR(VLOOKUP(Costing[[#This Row],[Super Frequency]],Frequency[],2,0),"")</f>
        <v>0.33333333333333331</v>
      </c>
      <c r="Q58" s="55">
        <f>IFERROR(Costing[[#This Row],[Super Hours/Month]]*Costing[[#This Row],[Super Rate]],0)</f>
        <v>0.83333333333333326</v>
      </c>
      <c r="R58" s="11" t="s">
        <v>177</v>
      </c>
      <c r="S58" s="11" t="s">
        <v>118</v>
      </c>
      <c r="T58" s="11" t="s">
        <v>183</v>
      </c>
      <c r="U58" s="11">
        <v>200</v>
      </c>
      <c r="V58" s="22">
        <f>IFERROR(Costing[[#This Row],[Minutes/Activity]]*Costing[[#This Row],[Bookkeeping Factor]]/60,"")</f>
        <v>3.3333333333333335</v>
      </c>
      <c r="W58" s="23">
        <f>IFERROR(VLOOKUP(Costing[[#This Row],[Bookkeeping Team]],Staff_Info[],4,0),"")</f>
        <v>10</v>
      </c>
      <c r="X58" s="22">
        <f>IFERROR(VLOOKUP(Costing[[#This Row],[Bookkeeping Frequency]],Frequency[],2,0),"")</f>
        <v>1</v>
      </c>
      <c r="Y58" s="55">
        <f>IFERROR(Costing[[#This Row],[Bookkeeping Hours/Month]]*Costing[[#This Row],[Bookkeeping Rate]],0)</f>
        <v>33.333333333333336</v>
      </c>
      <c r="Z58" s="11" t="s">
        <v>178</v>
      </c>
      <c r="AA58" s="11" t="s">
        <v>126</v>
      </c>
      <c r="AB58" s="11" t="s">
        <v>183</v>
      </c>
      <c r="AC58" s="11">
        <v>20</v>
      </c>
      <c r="AD58" s="22">
        <f>IFERROR(Costing[[#This Row],[Minutes/Report]]*Costing[[#This Row],[Reporting Factor]]/60,"")</f>
        <v>0.33333333333333331</v>
      </c>
      <c r="AE58" s="23">
        <f>IFERROR(VLOOKUP(Costing[[#This Row],[Reporting Team]],Staff_Info[],4,0),"")</f>
        <v>50</v>
      </c>
      <c r="AF58" s="22">
        <f>IFERROR(VLOOKUP(Costing[[#This Row],[Reporting Frequency]],Frequency[],2,0),"")</f>
        <v>1</v>
      </c>
      <c r="AG58" s="55">
        <f>IFERROR(Costing[[#This Row],[Reporting Hours/Month]]*Costing[[#This Row],[Reporting Rate]],0)</f>
        <v>16.666666666666664</v>
      </c>
      <c r="AH58" s="11" t="s">
        <v>179</v>
      </c>
      <c r="AI58" s="11" t="s">
        <v>118</v>
      </c>
      <c r="AJ58" s="11" t="s">
        <v>157</v>
      </c>
      <c r="AK58" s="11">
        <v>60</v>
      </c>
      <c r="AL58" s="22">
        <f>IFERROR(Costing[[#This Row],[Minutes/BAS 1]]*Costing[[#This Row],[BAS 1 Factor]]/60,"")</f>
        <v>0.33333333333333331</v>
      </c>
      <c r="AM58" s="23">
        <f>IFERROR(VLOOKUP(Costing[[#This Row],[BAS 1 Team]],Staff_Info[],4,0),"")</f>
        <v>10</v>
      </c>
      <c r="AN58" s="22">
        <f>IFERROR(VLOOKUP(Costing[[#This Row],[BAS 1 Frequency]],Frequency[],2,0),"")</f>
        <v>0.33333333333333331</v>
      </c>
      <c r="AO58" s="55">
        <f>IFERROR(Costing[[#This Row],[BAS 1 Hours/Month]]*Costing[[#This Row],[BAS 1 Rate]],0)</f>
        <v>3.333333333333333</v>
      </c>
      <c r="AP58" s="11" t="s">
        <v>180</v>
      </c>
      <c r="AQ58" s="11" t="s">
        <v>117</v>
      </c>
      <c r="AR58" s="11" t="s">
        <v>157</v>
      </c>
      <c r="AS58" s="11">
        <v>15</v>
      </c>
      <c r="AT58" s="22">
        <f>IFERROR(Costing[[#This Row],[Minutes/BAS 2]]*Costing[[#This Row],[BAS 2 Factor]]/60,"")</f>
        <v>8.3333333333333329E-2</v>
      </c>
      <c r="AU58" s="23">
        <f>IFERROR(VLOOKUP(Costing[[#This Row],[BAS 2 Team]],Staff_Info[],4,0),"")</f>
        <v>30</v>
      </c>
      <c r="AV58" s="22">
        <f>IFERROR(VLOOKUP(Costing[[#This Row],[BAS 2 Frequency]],Frequency[],2,0),"")</f>
        <v>0.33333333333333331</v>
      </c>
      <c r="AW58" s="55">
        <f>IFERROR(Costing[[#This Row],[BAS 2 Hours/Month]]*Costing[[#This Row],[BAS 2 Rate]],0)</f>
        <v>2.5</v>
      </c>
      <c r="AX58" s="11"/>
      <c r="AY58" s="11"/>
      <c r="AZ58" s="11"/>
      <c r="BA58" s="11"/>
      <c r="BB58" s="22" t="str">
        <f>IFERROR(Costing[[#This Row],[Minutes/IAS]]*Costing[[#This Row],[IAS Factor]]/60,"")</f>
        <v/>
      </c>
      <c r="BC58" s="23" t="str">
        <f>IFERROR(VLOOKUP(Costing[[#This Row],[IAS Team]],Staff_Info[],4,0),"")</f>
        <v/>
      </c>
      <c r="BD58" s="22" t="str">
        <f>IFERROR(VLOOKUP(Costing[[#This Row],[IAS Frequency]],Frequency[],2,0),"")</f>
        <v/>
      </c>
      <c r="BE58" s="56">
        <f>IFERROR(Costing[[#This Row],[IAS Hours/Month]]*Costing[[#This Row],[IAS Rate]],0)</f>
        <v>0</v>
      </c>
      <c r="BF58" s="11" t="s">
        <v>182</v>
      </c>
      <c r="BG58" s="11" t="s">
        <v>126</v>
      </c>
      <c r="BH58" s="11">
        <v>120</v>
      </c>
      <c r="BI58" s="23">
        <f>IFERROR(VLOOKUP(Costing[[#This Row],[EOFY Team 1]],Staff_Info[],4,0),"")</f>
        <v>50</v>
      </c>
      <c r="BJ58" s="57">
        <f>Costing[[#This Row],[Time Min 1]]/12</f>
        <v>10</v>
      </c>
      <c r="BK58" s="11" t="s">
        <v>118</v>
      </c>
      <c r="BL58" s="11">
        <v>120</v>
      </c>
      <c r="BM58" s="23">
        <f>IFERROR(VLOOKUP(Costing[[#This Row],[EOFY Team 2]],Staff_Info[],4,0),"")</f>
        <v>10</v>
      </c>
      <c r="BN58" s="57">
        <f>Costing[[#This Row],[Time Min 2]]/12</f>
        <v>10</v>
      </c>
      <c r="BO58" s="55">
        <f>IFERROR((Costing[[#This Row],[EOFY 1 Min/Month]]/60*Costing[[#This Row],[EOFY Team 1 Rate]])+(Costing[[#This Row],[EOFY 2 Min/Month]]/60*Costing[[#This Row],[EOFY Team 2 Rate]]),0)</f>
        <v>9.9999999999999982</v>
      </c>
      <c r="BP58" s="11" t="s">
        <v>164</v>
      </c>
      <c r="BQ58" s="55">
        <f>IFERROR(VLOOKUP(Costing[[#This Row],[Software Name]],Software[],2,0),0)</f>
        <v>47.27</v>
      </c>
      <c r="BR58" s="59" t="s">
        <v>294</v>
      </c>
      <c r="BS58" s="11" t="s">
        <v>126</v>
      </c>
      <c r="BT58" s="60">
        <f>IF(Costing[[#This Row],[Minutes/Activity]]&gt;0,Costing[[#This Row],[Minutes/Activity]]*Costing[[#This Row],[Onboarding Factor]],"")</f>
        <v>1190</v>
      </c>
      <c r="BU58" s="60">
        <f>IFERROR(Costing[[#This Row],[Onboarding Minutes]]/60,)</f>
        <v>19.833333333333332</v>
      </c>
      <c r="BV58" s="60">
        <f t="shared" si="2"/>
        <v>79.92</v>
      </c>
      <c r="BW58" s="61">
        <f>IFERROR(VLOOKUP(Costing[[#This Row],[Onboarding Team]],Staff_Info[],4,0),"")</f>
        <v>50</v>
      </c>
      <c r="BX58" s="60">
        <f t="shared" si="3"/>
        <v>5.95</v>
      </c>
      <c r="BY58" s="55">
        <f>IFERROR(Costing[[#This Row],[Onboarding Hours]]/Costing[[#This Row],[Client Life Expectancy (Months)]]*Costing[[#This Row],[Onboarding Rate]],0)</f>
        <v>12.40824157490824</v>
      </c>
      <c r="BZ58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93.519352686019346</v>
      </c>
      <c r="CA58" s="27">
        <v>228.29</v>
      </c>
      <c r="CB58" s="63">
        <f>IFERROR((Costing[[#This Row],[Current Sales Price]]-Costing[[#This Row],[Total  Cost excl. Software]])/Costing[[#This Row],[Current Sales Price]],)</f>
        <v>0.59034844852591284</v>
      </c>
      <c r="CC58" s="64">
        <f>Costing[[#This Row],[Total  Cost excl. Software]]/(1-$CC$1)</f>
        <v>267.19815053148386</v>
      </c>
    </row>
    <row r="59" spans="1:81" x14ac:dyDescent="0.2">
      <c r="A59" s="11" t="s">
        <v>61</v>
      </c>
      <c r="B59" s="48" t="s">
        <v>145</v>
      </c>
      <c r="C59" s="17" t="s">
        <v>118</v>
      </c>
      <c r="D59" s="17" t="s">
        <v>154</v>
      </c>
      <c r="E59" s="17">
        <v>30</v>
      </c>
      <c r="F59" s="21">
        <f>IFERROR(Costing[[#This Row],[Minutes/Pay Run]]*Costing[[#This Row],[Payroll Factor]]/60,"")</f>
        <v>2.1666666666666665</v>
      </c>
      <c r="G59" s="54">
        <f>IFERROR(VLOOKUP(Costing[[#This Row],[Payroll Team]],Staff_Info[],4,0),"")</f>
        <v>10</v>
      </c>
      <c r="H59" s="21">
        <f>IFERROR(VLOOKUP(Costing[[#This Row],[Payroll Frequency]],Frequency[],2,0),"")</f>
        <v>4.333333333333333</v>
      </c>
      <c r="I59" s="55">
        <f>IFERROR(Costing[[#This Row],[Payroll Hours/Month]]*Costing[[#This Row],[Payroll Rate]],0)</f>
        <v>21.666666666666664</v>
      </c>
      <c r="J59" s="54" t="s">
        <v>176</v>
      </c>
      <c r="K59" s="11" t="s">
        <v>118</v>
      </c>
      <c r="L59" s="11" t="s">
        <v>157</v>
      </c>
      <c r="M59" s="11">
        <v>15</v>
      </c>
      <c r="N59" s="22">
        <f>IFERROR(Costing[[#This Row],[Minutes/Super]]*Costing[[#This Row],[Super Factor]]/60,"")</f>
        <v>8.3333333333333329E-2</v>
      </c>
      <c r="O59" s="23">
        <f>IFERROR(VLOOKUP(Costing[[#This Row],[Super Team]],Staff_Info[],4,0),"")</f>
        <v>10</v>
      </c>
      <c r="P59" s="22">
        <f>IFERROR(VLOOKUP(Costing[[#This Row],[Super Frequency]],Frequency[],2,0),"")</f>
        <v>0.33333333333333331</v>
      </c>
      <c r="Q59" s="55">
        <f>IFERROR(Costing[[#This Row],[Super Hours/Month]]*Costing[[#This Row],[Super Rate]],0)</f>
        <v>0.83333333333333326</v>
      </c>
      <c r="R59" s="11" t="s">
        <v>177</v>
      </c>
      <c r="S59" s="11" t="s">
        <v>118</v>
      </c>
      <c r="T59" s="11" t="s">
        <v>183</v>
      </c>
      <c r="U59" s="11">
        <v>120</v>
      </c>
      <c r="V59" s="22">
        <f>IFERROR(Costing[[#This Row],[Minutes/Activity]]*Costing[[#This Row],[Bookkeeping Factor]]/60,"")</f>
        <v>2</v>
      </c>
      <c r="W59" s="23">
        <f>IFERROR(VLOOKUP(Costing[[#This Row],[Bookkeeping Team]],Staff_Info[],4,0),"")</f>
        <v>10</v>
      </c>
      <c r="X59" s="22">
        <f>IFERROR(VLOOKUP(Costing[[#This Row],[Bookkeeping Frequency]],Frequency[],2,0),"")</f>
        <v>1</v>
      </c>
      <c r="Y59" s="55">
        <f>IFERROR(Costing[[#This Row],[Bookkeeping Hours/Month]]*Costing[[#This Row],[Bookkeeping Rate]],0)</f>
        <v>20</v>
      </c>
      <c r="Z59" s="11" t="s">
        <v>178</v>
      </c>
      <c r="AA59" s="11" t="s">
        <v>119</v>
      </c>
      <c r="AB59" s="11" t="s">
        <v>183</v>
      </c>
      <c r="AC59" s="11">
        <v>20</v>
      </c>
      <c r="AD59" s="22">
        <f>IFERROR(Costing[[#This Row],[Minutes/Report]]*Costing[[#This Row],[Reporting Factor]]/60,"")</f>
        <v>0.33333333333333331</v>
      </c>
      <c r="AE59" s="23">
        <f>IFERROR(VLOOKUP(Costing[[#This Row],[Reporting Team]],Staff_Info[],4,0),"")</f>
        <v>50</v>
      </c>
      <c r="AF59" s="22">
        <f>IFERROR(VLOOKUP(Costing[[#This Row],[Reporting Frequency]],Frequency[],2,0),"")</f>
        <v>1</v>
      </c>
      <c r="AG59" s="55">
        <f>IFERROR(Costing[[#This Row],[Reporting Hours/Month]]*Costing[[#This Row],[Reporting Rate]],0)</f>
        <v>16.666666666666664</v>
      </c>
      <c r="AH59" s="11" t="s">
        <v>179</v>
      </c>
      <c r="AI59" s="11" t="s">
        <v>118</v>
      </c>
      <c r="AJ59" s="11" t="s">
        <v>157</v>
      </c>
      <c r="AK59" s="11">
        <v>60</v>
      </c>
      <c r="AL59" s="22">
        <f>IFERROR(Costing[[#This Row],[Minutes/BAS 1]]*Costing[[#This Row],[BAS 1 Factor]]/60,"")</f>
        <v>0.33333333333333331</v>
      </c>
      <c r="AM59" s="23">
        <f>IFERROR(VLOOKUP(Costing[[#This Row],[BAS 1 Team]],Staff_Info[],4,0),"")</f>
        <v>10</v>
      </c>
      <c r="AN59" s="22">
        <f>IFERROR(VLOOKUP(Costing[[#This Row],[BAS 1 Frequency]],Frequency[],2,0),"")</f>
        <v>0.33333333333333331</v>
      </c>
      <c r="AO59" s="55">
        <f>IFERROR(Costing[[#This Row],[BAS 1 Hours/Month]]*Costing[[#This Row],[BAS 1 Rate]],0)</f>
        <v>3.333333333333333</v>
      </c>
      <c r="AP59" s="11" t="s">
        <v>180</v>
      </c>
      <c r="AQ59" s="11" t="s">
        <v>117</v>
      </c>
      <c r="AR59" s="11" t="s">
        <v>157</v>
      </c>
      <c r="AS59" s="11">
        <v>15</v>
      </c>
      <c r="AT59" s="22">
        <f>IFERROR(Costing[[#This Row],[Minutes/BAS 2]]*Costing[[#This Row],[BAS 2 Factor]]/60,"")</f>
        <v>8.3333333333333329E-2</v>
      </c>
      <c r="AU59" s="23">
        <f>IFERROR(VLOOKUP(Costing[[#This Row],[BAS 2 Team]],Staff_Info[],4,0),"")</f>
        <v>30</v>
      </c>
      <c r="AV59" s="22">
        <f>IFERROR(VLOOKUP(Costing[[#This Row],[BAS 2 Frequency]],Frequency[],2,0),"")</f>
        <v>0.33333333333333331</v>
      </c>
      <c r="AW59" s="55">
        <f>IFERROR(Costing[[#This Row],[BAS 2 Hours/Month]]*Costing[[#This Row],[BAS 2 Rate]],0)</f>
        <v>2.5</v>
      </c>
      <c r="AX59" s="11"/>
      <c r="AY59" s="11"/>
      <c r="AZ59" s="11"/>
      <c r="BA59" s="11"/>
      <c r="BB59" s="22" t="str">
        <f>IFERROR(Costing[[#This Row],[Minutes/IAS]]*Costing[[#This Row],[IAS Factor]]/60,"")</f>
        <v/>
      </c>
      <c r="BC59" s="23" t="str">
        <f>IFERROR(VLOOKUP(Costing[[#This Row],[IAS Team]],Staff_Info[],4,0),"")</f>
        <v/>
      </c>
      <c r="BD59" s="22" t="str">
        <f>IFERROR(VLOOKUP(Costing[[#This Row],[IAS Frequency]],Frequency[],2,0),"")</f>
        <v/>
      </c>
      <c r="BE59" s="56">
        <f>IFERROR(Costing[[#This Row],[IAS Hours/Month]]*Costing[[#This Row],[IAS Rate]],0)</f>
        <v>0</v>
      </c>
      <c r="BF59" s="11" t="s">
        <v>182</v>
      </c>
      <c r="BG59" s="11" t="s">
        <v>119</v>
      </c>
      <c r="BH59" s="11">
        <v>120</v>
      </c>
      <c r="BI59" s="23">
        <f>IFERROR(VLOOKUP(Costing[[#This Row],[EOFY Team 1]],Staff_Info[],4,0),"")</f>
        <v>50</v>
      </c>
      <c r="BJ59" s="57">
        <f>Costing[[#This Row],[Time Min 1]]/12</f>
        <v>10</v>
      </c>
      <c r="BK59" s="11" t="s">
        <v>116</v>
      </c>
      <c r="BL59" s="11">
        <v>120</v>
      </c>
      <c r="BM59" s="23">
        <f>IFERROR(VLOOKUP(Costing[[#This Row],[EOFY Team 2]],Staff_Info[],4,0),"")</f>
        <v>10</v>
      </c>
      <c r="BN59" s="57">
        <f>Costing[[#This Row],[Time Min 2]]/12</f>
        <v>10</v>
      </c>
      <c r="BO59" s="55">
        <f>IFERROR((Costing[[#This Row],[EOFY 1 Min/Month]]/60*Costing[[#This Row],[EOFY Team 1 Rate]])+(Costing[[#This Row],[EOFY 2 Min/Month]]/60*Costing[[#This Row],[EOFY Team 2 Rate]]),0)</f>
        <v>9.9999999999999982</v>
      </c>
      <c r="BP59" s="11" t="s">
        <v>163</v>
      </c>
      <c r="BQ59" s="55">
        <f>IFERROR(VLOOKUP(Costing[[#This Row],[Software Name]],Software[],2,0),0)</f>
        <v>36.36</v>
      </c>
      <c r="BR59" s="59" t="s">
        <v>294</v>
      </c>
      <c r="BS59" s="11" t="s">
        <v>119</v>
      </c>
      <c r="BT59" s="60">
        <f>IF(Costing[[#This Row],[Minutes/Activity]]&gt;0,Costing[[#This Row],[Minutes/Activity]]*Costing[[#This Row],[Onboarding Factor]],"")</f>
        <v>714</v>
      </c>
      <c r="BU59" s="60">
        <f>IFERROR(Costing[[#This Row],[Onboarding Minutes]]/60,)</f>
        <v>11.9</v>
      </c>
      <c r="BV59" s="60">
        <f t="shared" si="2"/>
        <v>79.92</v>
      </c>
      <c r="BW59" s="61">
        <f>IFERROR(VLOOKUP(Costing[[#This Row],[Onboarding Team]],Staff_Info[],4,0),"")</f>
        <v>50</v>
      </c>
      <c r="BX59" s="60">
        <f t="shared" si="3"/>
        <v>5.95</v>
      </c>
      <c r="BY59" s="55">
        <f>IFERROR(Costing[[#This Row],[Onboarding Hours]]/Costing[[#This Row],[Client Life Expectancy (Months)]]*Costing[[#This Row],[Onboarding Rate]],0)</f>
        <v>7.444944944944945</v>
      </c>
      <c r="BZ59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82.44494494494495</v>
      </c>
      <c r="CA59" s="27">
        <v>122.73</v>
      </c>
      <c r="CB59" s="63">
        <f>IFERROR((Costing[[#This Row],[Current Sales Price]]-Costing[[#This Row],[Total  Cost excl. Software]])/Costing[[#This Row],[Current Sales Price]],)</f>
        <v>0.32824130249372652</v>
      </c>
      <c r="CC59" s="64">
        <f>Costing[[#This Row],[Total  Cost excl. Software]]/(1-$CC$1)</f>
        <v>235.55698555698558</v>
      </c>
    </row>
    <row r="60" spans="1:81" x14ac:dyDescent="0.2">
      <c r="A60" s="11" t="s">
        <v>62</v>
      </c>
      <c r="B60" s="48"/>
      <c r="C60" s="17"/>
      <c r="D60" s="17"/>
      <c r="E60" s="17"/>
      <c r="F60" s="21" t="str">
        <f>IFERROR(Costing[[#This Row],[Minutes/Pay Run]]*Costing[[#This Row],[Payroll Factor]]/60,"")</f>
        <v/>
      </c>
      <c r="G60" s="54" t="str">
        <f>IFERROR(VLOOKUP(Costing[[#This Row],[Payroll Team]],Staff_Info[],4,0),"")</f>
        <v/>
      </c>
      <c r="H60" s="21" t="str">
        <f>IFERROR(VLOOKUP(Costing[[#This Row],[Payroll Frequency]],Frequency[],2,0),"")</f>
        <v/>
      </c>
      <c r="I60" s="55">
        <f>IFERROR(Costing[[#This Row],[Payroll Hours/Month]]*Costing[[#This Row],[Payroll Rate]],0)</f>
        <v>0</v>
      </c>
      <c r="J60" s="54"/>
      <c r="K60" s="11"/>
      <c r="L60" s="11"/>
      <c r="M60" s="11"/>
      <c r="N60" s="22" t="str">
        <f>IFERROR(Costing[[#This Row],[Minutes/Super]]*Costing[[#This Row],[Super Factor]]/60,"")</f>
        <v/>
      </c>
      <c r="O60" s="23" t="str">
        <f>IFERROR(VLOOKUP(Costing[[#This Row],[Super Team]],Staff_Info[],4,0),"")</f>
        <v/>
      </c>
      <c r="P60" s="22" t="str">
        <f>IFERROR(VLOOKUP(Costing[[#This Row],[Super Frequency]],Frequency[],2,0),"")</f>
        <v/>
      </c>
      <c r="Q60" s="55">
        <f>IFERROR(Costing[[#This Row],[Super Hours/Month]]*Costing[[#This Row],[Super Rate]],0)</f>
        <v>0</v>
      </c>
      <c r="R60" s="11" t="s">
        <v>177</v>
      </c>
      <c r="S60" s="11" t="s">
        <v>117</v>
      </c>
      <c r="T60" s="11" t="s">
        <v>157</v>
      </c>
      <c r="U60" s="11">
        <v>175</v>
      </c>
      <c r="V60" s="22">
        <f>IFERROR(Costing[[#This Row],[Minutes/Activity]]*Costing[[#This Row],[Bookkeeping Factor]]/60,"")</f>
        <v>0.9722222222222221</v>
      </c>
      <c r="W60" s="23">
        <f>IFERROR(VLOOKUP(Costing[[#This Row],[Bookkeeping Team]],Staff_Info[],4,0),"")</f>
        <v>30</v>
      </c>
      <c r="X60" s="22">
        <f>IFERROR(VLOOKUP(Costing[[#This Row],[Bookkeeping Frequency]],Frequency[],2,0),"")</f>
        <v>0.33333333333333331</v>
      </c>
      <c r="Y60" s="55">
        <f>IFERROR(Costing[[#This Row],[Bookkeeping Hours/Month]]*Costing[[#This Row],[Bookkeeping Rate]],0)</f>
        <v>29.166666666666664</v>
      </c>
      <c r="Z60" s="11" t="s">
        <v>178</v>
      </c>
      <c r="AA60" s="11" t="s">
        <v>119</v>
      </c>
      <c r="AB60" s="11" t="s">
        <v>157</v>
      </c>
      <c r="AC60" s="11">
        <v>30</v>
      </c>
      <c r="AD60" s="22">
        <f>IFERROR(Costing[[#This Row],[Minutes/Report]]*Costing[[#This Row],[Reporting Factor]]/60,"")</f>
        <v>0.16666666666666666</v>
      </c>
      <c r="AE60" s="23">
        <f>IFERROR(VLOOKUP(Costing[[#This Row],[Reporting Team]],Staff_Info[],4,0),"")</f>
        <v>50</v>
      </c>
      <c r="AF60" s="22">
        <f>IFERROR(VLOOKUP(Costing[[#This Row],[Reporting Frequency]],Frequency[],2,0),"")</f>
        <v>0.33333333333333331</v>
      </c>
      <c r="AG60" s="55">
        <f>IFERROR(Costing[[#This Row],[Reporting Hours/Month]]*Costing[[#This Row],[Reporting Rate]],0)</f>
        <v>8.3333333333333321</v>
      </c>
      <c r="AH60" s="11" t="s">
        <v>179</v>
      </c>
      <c r="AI60" s="11" t="s">
        <v>117</v>
      </c>
      <c r="AJ60" s="11" t="s">
        <v>157</v>
      </c>
      <c r="AK60" s="11">
        <v>60</v>
      </c>
      <c r="AL60" s="22">
        <f>IFERROR(Costing[[#This Row],[Minutes/BAS 1]]*Costing[[#This Row],[BAS 1 Factor]]/60,"")</f>
        <v>0.33333333333333331</v>
      </c>
      <c r="AM60" s="23">
        <f>IFERROR(VLOOKUP(Costing[[#This Row],[BAS 1 Team]],Staff_Info[],4,0),"")</f>
        <v>30</v>
      </c>
      <c r="AN60" s="22">
        <f>IFERROR(VLOOKUP(Costing[[#This Row],[BAS 1 Frequency]],Frequency[],2,0),"")</f>
        <v>0.33333333333333331</v>
      </c>
      <c r="AO60" s="55">
        <f>IFERROR(Costing[[#This Row],[BAS 1 Hours/Month]]*Costing[[#This Row],[BAS 1 Rate]],0)</f>
        <v>10</v>
      </c>
      <c r="AP60" s="11" t="s">
        <v>180</v>
      </c>
      <c r="AQ60" s="11" t="s">
        <v>117</v>
      </c>
      <c r="AR60" s="11" t="s">
        <v>157</v>
      </c>
      <c r="AS60" s="11">
        <v>15</v>
      </c>
      <c r="AT60" s="22">
        <f>IFERROR(Costing[[#This Row],[Minutes/BAS 2]]*Costing[[#This Row],[BAS 2 Factor]]/60,"")</f>
        <v>8.3333333333333329E-2</v>
      </c>
      <c r="AU60" s="23">
        <f>IFERROR(VLOOKUP(Costing[[#This Row],[BAS 2 Team]],Staff_Info[],4,0),"")</f>
        <v>30</v>
      </c>
      <c r="AV60" s="22">
        <f>IFERROR(VLOOKUP(Costing[[#This Row],[BAS 2 Frequency]],Frequency[],2,0),"")</f>
        <v>0.33333333333333331</v>
      </c>
      <c r="AW60" s="55">
        <f>IFERROR(Costing[[#This Row],[BAS 2 Hours/Month]]*Costing[[#This Row],[BAS 2 Rate]],0)</f>
        <v>2.5</v>
      </c>
      <c r="AX60" s="11"/>
      <c r="AY60" s="11"/>
      <c r="AZ60" s="11"/>
      <c r="BA60" s="11"/>
      <c r="BB60" s="22" t="str">
        <f>IFERROR(Costing[[#This Row],[Minutes/IAS]]*Costing[[#This Row],[IAS Factor]]/60,"")</f>
        <v/>
      </c>
      <c r="BC60" s="23" t="str">
        <f>IFERROR(VLOOKUP(Costing[[#This Row],[IAS Team]],Staff_Info[],4,0),"")</f>
        <v/>
      </c>
      <c r="BD60" s="22" t="str">
        <f>IFERROR(VLOOKUP(Costing[[#This Row],[IAS Frequency]],Frequency[],2,0),"")</f>
        <v/>
      </c>
      <c r="BE60" s="56">
        <f>IFERROR(Costing[[#This Row],[IAS Hours/Month]]*Costing[[#This Row],[IAS Rate]],0)</f>
        <v>0</v>
      </c>
      <c r="BF60" s="11" t="s">
        <v>182</v>
      </c>
      <c r="BG60" s="11" t="s">
        <v>117</v>
      </c>
      <c r="BH60" s="11">
        <v>120</v>
      </c>
      <c r="BI60" s="23">
        <f>IFERROR(VLOOKUP(Costing[[#This Row],[EOFY Team 1]],Staff_Info[],4,0),"")</f>
        <v>30</v>
      </c>
      <c r="BJ60" s="57">
        <f>Costing[[#This Row],[Time Min 1]]/12</f>
        <v>10</v>
      </c>
      <c r="BK60" s="11" t="s">
        <v>119</v>
      </c>
      <c r="BL60" s="11">
        <v>120</v>
      </c>
      <c r="BM60" s="23">
        <f>IFERROR(VLOOKUP(Costing[[#This Row],[EOFY Team 2]],Staff_Info[],4,0),"")</f>
        <v>50</v>
      </c>
      <c r="BN60" s="57">
        <f>Costing[[#This Row],[Time Min 2]]/12</f>
        <v>10</v>
      </c>
      <c r="BO60" s="55">
        <f>IFERROR((Costing[[#This Row],[EOFY 1 Min/Month]]/60*Costing[[#This Row],[EOFY Team 1 Rate]])+(Costing[[#This Row],[EOFY 2 Min/Month]]/60*Costing[[#This Row],[EOFY Team 2 Rate]]),0)</f>
        <v>13.333333333333332</v>
      </c>
      <c r="BP60" s="11" t="s">
        <v>172</v>
      </c>
      <c r="BQ60" s="55">
        <f>IFERROR(VLOOKUP(Costing[[#This Row],[Software Name]],Software[],2,0),0)</f>
        <v>35.72</v>
      </c>
      <c r="BR60" s="59" t="s">
        <v>294</v>
      </c>
      <c r="BS60" s="11" t="s">
        <v>119</v>
      </c>
      <c r="BT60" s="60">
        <f>IF(Costing[[#This Row],[Minutes/Activity]]&gt;0,Costing[[#This Row],[Minutes/Activity]]*Costing[[#This Row],[Onboarding Factor]],"")</f>
        <v>1041.25</v>
      </c>
      <c r="BU60" s="60">
        <f>IFERROR(Costing[[#This Row],[Onboarding Minutes]]/60,)</f>
        <v>17.354166666666668</v>
      </c>
      <c r="BV60" s="60">
        <f t="shared" si="2"/>
        <v>79.92</v>
      </c>
      <c r="BW60" s="61">
        <f>IFERROR(VLOOKUP(Costing[[#This Row],[Onboarding Team]],Staff_Info[],4,0),"")</f>
        <v>50</v>
      </c>
      <c r="BX60" s="60">
        <f t="shared" si="3"/>
        <v>5.95</v>
      </c>
      <c r="BY60" s="55">
        <f>IFERROR(Costing[[#This Row],[Onboarding Hours]]/Costing[[#This Row],[Client Life Expectancy (Months)]]*Costing[[#This Row],[Onboarding Rate]],0)</f>
        <v>10.857211378044711</v>
      </c>
      <c r="BZ60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74.190544711378038</v>
      </c>
      <c r="CA60" s="27">
        <v>125</v>
      </c>
      <c r="CB60" s="63">
        <f>IFERROR((Costing[[#This Row],[Current Sales Price]]-Costing[[#This Row],[Total  Cost excl. Software]])/Costing[[#This Row],[Current Sales Price]],)</f>
        <v>0.4064756423089757</v>
      </c>
      <c r="CC60" s="64">
        <f>Costing[[#This Row],[Total  Cost excl. Software]]/(1-$CC$1)</f>
        <v>211.97298488965154</v>
      </c>
    </row>
    <row r="61" spans="1:81" x14ac:dyDescent="0.2">
      <c r="A61" s="11" t="s">
        <v>64</v>
      </c>
      <c r="B61" s="48"/>
      <c r="C61" s="17"/>
      <c r="D61" s="17"/>
      <c r="E61" s="17"/>
      <c r="F61" s="21" t="str">
        <f>IFERROR(Costing[[#This Row],[Minutes/Pay Run]]*Costing[[#This Row],[Payroll Factor]]/60,"")</f>
        <v/>
      </c>
      <c r="G61" s="54" t="str">
        <f>IFERROR(VLOOKUP(Costing[[#This Row],[Payroll Team]],Staff_Info[],4,0),"")</f>
        <v/>
      </c>
      <c r="H61" s="21" t="str">
        <f>IFERROR(VLOOKUP(Costing[[#This Row],[Payroll Frequency]],Frequency[],2,0),"")</f>
        <v/>
      </c>
      <c r="I61" s="55">
        <f>IFERROR(Costing[[#This Row],[Payroll Hours/Month]]*Costing[[#This Row],[Payroll Rate]],0)</f>
        <v>0</v>
      </c>
      <c r="J61" s="54" t="s">
        <v>176</v>
      </c>
      <c r="K61" s="11" t="s">
        <v>118</v>
      </c>
      <c r="L61" s="11" t="s">
        <v>157</v>
      </c>
      <c r="M61" s="11">
        <v>25</v>
      </c>
      <c r="N61" s="22">
        <f>IFERROR(Costing[[#This Row],[Minutes/Super]]*Costing[[#This Row],[Super Factor]]/60,"")</f>
        <v>0.13888888888888887</v>
      </c>
      <c r="O61" s="23">
        <f>IFERROR(VLOOKUP(Costing[[#This Row],[Super Team]],Staff_Info[],4,0),"")</f>
        <v>10</v>
      </c>
      <c r="P61" s="22">
        <f>IFERROR(VLOOKUP(Costing[[#This Row],[Super Frequency]],Frequency[],2,0),"")</f>
        <v>0.33333333333333331</v>
      </c>
      <c r="Q61" s="55">
        <f>IFERROR(Costing[[#This Row],[Super Hours/Month]]*Costing[[#This Row],[Super Rate]],0)</f>
        <v>1.3888888888888886</v>
      </c>
      <c r="R61" s="11" t="s">
        <v>177</v>
      </c>
      <c r="S61" s="11" t="s">
        <v>118</v>
      </c>
      <c r="T61" s="11" t="s">
        <v>183</v>
      </c>
      <c r="U61" s="11">
        <v>340</v>
      </c>
      <c r="V61" s="22">
        <f>IFERROR(Costing[[#This Row],[Minutes/Activity]]*Costing[[#This Row],[Bookkeeping Factor]]/60,"")</f>
        <v>5.666666666666667</v>
      </c>
      <c r="W61" s="23">
        <f>IFERROR(VLOOKUP(Costing[[#This Row],[Bookkeeping Team]],Staff_Info[],4,0),"")</f>
        <v>10</v>
      </c>
      <c r="X61" s="22">
        <f>IFERROR(VLOOKUP(Costing[[#This Row],[Bookkeeping Frequency]],Frequency[],2,0),"")</f>
        <v>1</v>
      </c>
      <c r="Y61" s="55">
        <f>IFERROR(Costing[[#This Row],[Bookkeeping Hours/Month]]*Costing[[#This Row],[Bookkeeping Rate]],0)</f>
        <v>56.666666666666671</v>
      </c>
      <c r="Z61" s="11" t="s">
        <v>178</v>
      </c>
      <c r="AA61" s="11" t="s">
        <v>126</v>
      </c>
      <c r="AB61" s="11" t="s">
        <v>183</v>
      </c>
      <c r="AC61" s="11">
        <v>20</v>
      </c>
      <c r="AD61" s="22">
        <f>IFERROR(Costing[[#This Row],[Minutes/Report]]*Costing[[#This Row],[Reporting Factor]]/60,"")</f>
        <v>0.33333333333333331</v>
      </c>
      <c r="AE61" s="23">
        <f>IFERROR(VLOOKUP(Costing[[#This Row],[Reporting Team]],Staff_Info[],4,0),"")</f>
        <v>50</v>
      </c>
      <c r="AF61" s="22">
        <f>IFERROR(VLOOKUP(Costing[[#This Row],[Reporting Frequency]],Frequency[],2,0),"")</f>
        <v>1</v>
      </c>
      <c r="AG61" s="55">
        <f>IFERROR(Costing[[#This Row],[Reporting Hours/Month]]*Costing[[#This Row],[Reporting Rate]],0)</f>
        <v>16.666666666666664</v>
      </c>
      <c r="AH61" s="11" t="s">
        <v>179</v>
      </c>
      <c r="AI61" s="11" t="s">
        <v>118</v>
      </c>
      <c r="AJ61" s="11" t="s">
        <v>157</v>
      </c>
      <c r="AK61" s="11">
        <v>60</v>
      </c>
      <c r="AL61" s="22">
        <f>IFERROR(Costing[[#This Row],[Minutes/BAS 1]]*Costing[[#This Row],[BAS 1 Factor]]/60,"")</f>
        <v>0.33333333333333331</v>
      </c>
      <c r="AM61" s="23">
        <f>IFERROR(VLOOKUP(Costing[[#This Row],[BAS 1 Team]],Staff_Info[],4,0),"")</f>
        <v>10</v>
      </c>
      <c r="AN61" s="22">
        <f>IFERROR(VLOOKUP(Costing[[#This Row],[BAS 1 Frequency]],Frequency[],2,0),"")</f>
        <v>0.33333333333333331</v>
      </c>
      <c r="AO61" s="55">
        <f>IFERROR(Costing[[#This Row],[BAS 1 Hours/Month]]*Costing[[#This Row],[BAS 1 Rate]],0)</f>
        <v>3.333333333333333</v>
      </c>
      <c r="AP61" s="11" t="s">
        <v>180</v>
      </c>
      <c r="AQ61" s="11" t="s">
        <v>117</v>
      </c>
      <c r="AR61" s="11" t="s">
        <v>157</v>
      </c>
      <c r="AS61" s="11">
        <v>15</v>
      </c>
      <c r="AT61" s="22">
        <f>IFERROR(Costing[[#This Row],[Minutes/BAS 2]]*Costing[[#This Row],[BAS 2 Factor]]/60,"")</f>
        <v>8.3333333333333329E-2</v>
      </c>
      <c r="AU61" s="23">
        <f>IFERROR(VLOOKUP(Costing[[#This Row],[BAS 2 Team]],Staff_Info[],4,0),"")</f>
        <v>30</v>
      </c>
      <c r="AV61" s="22">
        <f>IFERROR(VLOOKUP(Costing[[#This Row],[BAS 2 Frequency]],Frequency[],2,0),"")</f>
        <v>0.33333333333333331</v>
      </c>
      <c r="AW61" s="55">
        <f>IFERROR(Costing[[#This Row],[BAS 2 Hours/Month]]*Costing[[#This Row],[BAS 2 Rate]],0)</f>
        <v>2.5</v>
      </c>
      <c r="AX61" s="11"/>
      <c r="AY61" s="11"/>
      <c r="AZ61" s="11"/>
      <c r="BA61" s="11"/>
      <c r="BB61" s="22" t="str">
        <f>IFERROR(Costing[[#This Row],[Minutes/IAS]]*Costing[[#This Row],[IAS Factor]]/60,"")</f>
        <v/>
      </c>
      <c r="BC61" s="23" t="str">
        <f>IFERROR(VLOOKUP(Costing[[#This Row],[IAS Team]],Staff_Info[],4,0),"")</f>
        <v/>
      </c>
      <c r="BD61" s="22" t="str">
        <f>IFERROR(VLOOKUP(Costing[[#This Row],[IAS Frequency]],Frequency[],2,0),"")</f>
        <v/>
      </c>
      <c r="BE61" s="56">
        <f>IFERROR(Costing[[#This Row],[IAS Hours/Month]]*Costing[[#This Row],[IAS Rate]],0)</f>
        <v>0</v>
      </c>
      <c r="BF61" s="11" t="s">
        <v>182</v>
      </c>
      <c r="BG61" s="11" t="s">
        <v>118</v>
      </c>
      <c r="BH61" s="11">
        <v>120</v>
      </c>
      <c r="BI61" s="23">
        <f>IFERROR(VLOOKUP(Costing[[#This Row],[EOFY Team 1]],Staff_Info[],4,0),"")</f>
        <v>10</v>
      </c>
      <c r="BJ61" s="57">
        <f>Costing[[#This Row],[Time Min 1]]/12</f>
        <v>10</v>
      </c>
      <c r="BK61" s="11" t="s">
        <v>126</v>
      </c>
      <c r="BL61" s="11">
        <v>120</v>
      </c>
      <c r="BM61" s="23">
        <f>IFERROR(VLOOKUP(Costing[[#This Row],[EOFY Team 2]],Staff_Info[],4,0),"")</f>
        <v>50</v>
      </c>
      <c r="BN61" s="57">
        <f>Costing[[#This Row],[Time Min 2]]/12</f>
        <v>10</v>
      </c>
      <c r="BO61" s="55">
        <f>IFERROR((Costing[[#This Row],[EOFY 1 Min/Month]]/60*Costing[[#This Row],[EOFY Team 1 Rate]])+(Costing[[#This Row],[EOFY 2 Min/Month]]/60*Costing[[#This Row],[EOFY Team 2 Rate]]),0)</f>
        <v>9.9999999999999982</v>
      </c>
      <c r="BP61" s="11" t="s">
        <v>170</v>
      </c>
      <c r="BQ61" s="55">
        <f>IFERROR(VLOOKUP(Costing[[#This Row],[Software Name]],Software[],2,0),0)</f>
        <v>22.73</v>
      </c>
      <c r="BR61" s="59" t="s">
        <v>294</v>
      </c>
      <c r="BS61" s="11" t="s">
        <v>126</v>
      </c>
      <c r="BT61" s="60">
        <f>IF(Costing[[#This Row],[Minutes/Activity]]&gt;0,Costing[[#This Row],[Minutes/Activity]]*Costing[[#This Row],[Onboarding Factor]],"")</f>
        <v>2023</v>
      </c>
      <c r="BU61" s="60">
        <f>IFERROR(Costing[[#This Row],[Onboarding Minutes]]/60,)</f>
        <v>33.716666666666669</v>
      </c>
      <c r="BV61" s="60">
        <f t="shared" si="2"/>
        <v>79.92</v>
      </c>
      <c r="BW61" s="61">
        <f>IFERROR(VLOOKUP(Costing[[#This Row],[Onboarding Team]],Staff_Info[],4,0),"")</f>
        <v>50</v>
      </c>
      <c r="BX61" s="60">
        <f t="shared" si="3"/>
        <v>5.95</v>
      </c>
      <c r="BY61" s="55">
        <f>IFERROR(Costing[[#This Row],[Onboarding Hours]]/Costing[[#This Row],[Client Life Expectancy (Months)]]*Costing[[#This Row],[Onboarding Rate]],0)</f>
        <v>21.094010677344009</v>
      </c>
      <c r="BZ61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111.64956623289956</v>
      </c>
      <c r="CA61" s="27">
        <v>249.66</v>
      </c>
      <c r="CB61" s="63">
        <f>IFERROR((Costing[[#This Row],[Current Sales Price]]-Costing[[#This Row],[Total  Cost excl. Software]])/Costing[[#This Row],[Current Sales Price]],)</f>
        <v>0.55279353427501576</v>
      </c>
      <c r="CC61" s="64">
        <f>Costing[[#This Row],[Total  Cost excl. Software]]/(1-$CC$1)</f>
        <v>318.99876066542731</v>
      </c>
    </row>
    <row r="62" spans="1:81" x14ac:dyDescent="0.2">
      <c r="A62" s="11" t="s">
        <v>65</v>
      </c>
      <c r="B62" s="48"/>
      <c r="C62" s="17"/>
      <c r="D62" s="17"/>
      <c r="E62" s="17"/>
      <c r="F62" s="21" t="str">
        <f>IFERROR(Costing[[#This Row],[Minutes/Pay Run]]*Costing[[#This Row],[Payroll Factor]]/60,"")</f>
        <v/>
      </c>
      <c r="G62" s="54" t="str">
        <f>IFERROR(VLOOKUP(Costing[[#This Row],[Payroll Team]],Staff_Info[],4,0),"")</f>
        <v/>
      </c>
      <c r="H62" s="21" t="str">
        <f>IFERROR(VLOOKUP(Costing[[#This Row],[Payroll Frequency]],Frequency[],2,0),"")</f>
        <v/>
      </c>
      <c r="I62" s="55">
        <f>IFERROR(Costing[[#This Row],[Payroll Hours/Month]]*Costing[[#This Row],[Payroll Rate]],0)</f>
        <v>0</v>
      </c>
      <c r="J62" s="54"/>
      <c r="K62" s="11"/>
      <c r="L62" s="11"/>
      <c r="M62" s="11"/>
      <c r="N62" s="22" t="str">
        <f>IFERROR(Costing[[#This Row],[Minutes/Super]]*Costing[[#This Row],[Super Factor]]/60,"")</f>
        <v/>
      </c>
      <c r="O62" s="23" t="str">
        <f>IFERROR(VLOOKUP(Costing[[#This Row],[Super Team]],Staff_Info[],4,0),"")</f>
        <v/>
      </c>
      <c r="P62" s="22" t="str">
        <f>IFERROR(VLOOKUP(Costing[[#This Row],[Super Frequency]],Frequency[],2,0),"")</f>
        <v/>
      </c>
      <c r="Q62" s="55">
        <f>IFERROR(Costing[[#This Row],[Super Hours/Month]]*Costing[[#This Row],[Super Rate]],0)</f>
        <v>0</v>
      </c>
      <c r="R62" s="11" t="s">
        <v>177</v>
      </c>
      <c r="S62" s="11" t="s">
        <v>117</v>
      </c>
      <c r="T62" s="11" t="s">
        <v>157</v>
      </c>
      <c r="U62" s="11">
        <v>60</v>
      </c>
      <c r="V62" s="22">
        <f>IFERROR(Costing[[#This Row],[Minutes/Activity]]*Costing[[#This Row],[Bookkeeping Factor]]/60,"")</f>
        <v>0.33333333333333331</v>
      </c>
      <c r="W62" s="23">
        <f>IFERROR(VLOOKUP(Costing[[#This Row],[Bookkeeping Team]],Staff_Info[],4,0),"")</f>
        <v>30</v>
      </c>
      <c r="X62" s="22">
        <f>IFERROR(VLOOKUP(Costing[[#This Row],[Bookkeeping Frequency]],Frequency[],2,0),"")</f>
        <v>0.33333333333333331</v>
      </c>
      <c r="Y62" s="55">
        <f>IFERROR(Costing[[#This Row],[Bookkeeping Hours/Month]]*Costing[[#This Row],[Bookkeeping Rate]],0)</f>
        <v>10</v>
      </c>
      <c r="Z62" s="11" t="s">
        <v>178</v>
      </c>
      <c r="AA62" s="11" t="s">
        <v>117</v>
      </c>
      <c r="AB62" s="11" t="s">
        <v>157</v>
      </c>
      <c r="AC62" s="11">
        <v>30</v>
      </c>
      <c r="AD62" s="22">
        <f>IFERROR(Costing[[#This Row],[Minutes/Report]]*Costing[[#This Row],[Reporting Factor]]/60,"")</f>
        <v>0.16666666666666666</v>
      </c>
      <c r="AE62" s="23">
        <f>IFERROR(VLOOKUP(Costing[[#This Row],[Reporting Team]],Staff_Info[],4,0),"")</f>
        <v>30</v>
      </c>
      <c r="AF62" s="22">
        <f>IFERROR(VLOOKUP(Costing[[#This Row],[Reporting Frequency]],Frequency[],2,0),"")</f>
        <v>0.33333333333333331</v>
      </c>
      <c r="AG62" s="55">
        <f>IFERROR(Costing[[#This Row],[Reporting Hours/Month]]*Costing[[#This Row],[Reporting Rate]],0)</f>
        <v>5</v>
      </c>
      <c r="AH62" s="11" t="s">
        <v>179</v>
      </c>
      <c r="AI62" s="11" t="s">
        <v>117</v>
      </c>
      <c r="AJ62" s="11" t="s">
        <v>157</v>
      </c>
      <c r="AK62" s="11">
        <v>60</v>
      </c>
      <c r="AL62" s="22">
        <f>IFERROR(Costing[[#This Row],[Minutes/BAS 1]]*Costing[[#This Row],[BAS 1 Factor]]/60,"")</f>
        <v>0.33333333333333331</v>
      </c>
      <c r="AM62" s="23">
        <f>IFERROR(VLOOKUP(Costing[[#This Row],[BAS 1 Team]],Staff_Info[],4,0),"")</f>
        <v>30</v>
      </c>
      <c r="AN62" s="22">
        <f>IFERROR(VLOOKUP(Costing[[#This Row],[BAS 1 Frequency]],Frequency[],2,0),"")</f>
        <v>0.33333333333333331</v>
      </c>
      <c r="AO62" s="55">
        <f>IFERROR(Costing[[#This Row],[BAS 1 Hours/Month]]*Costing[[#This Row],[BAS 1 Rate]],0)</f>
        <v>10</v>
      </c>
      <c r="AP62" s="11" t="s">
        <v>180</v>
      </c>
      <c r="AQ62" s="11" t="s">
        <v>117</v>
      </c>
      <c r="AR62" s="11" t="s">
        <v>157</v>
      </c>
      <c r="AS62" s="11">
        <v>15</v>
      </c>
      <c r="AT62" s="22">
        <f>IFERROR(Costing[[#This Row],[Minutes/BAS 2]]*Costing[[#This Row],[BAS 2 Factor]]/60,"")</f>
        <v>8.3333333333333329E-2</v>
      </c>
      <c r="AU62" s="23">
        <f>IFERROR(VLOOKUP(Costing[[#This Row],[BAS 2 Team]],Staff_Info[],4,0),"")</f>
        <v>30</v>
      </c>
      <c r="AV62" s="22">
        <f>IFERROR(VLOOKUP(Costing[[#This Row],[BAS 2 Frequency]],Frequency[],2,0),"")</f>
        <v>0.33333333333333331</v>
      </c>
      <c r="AW62" s="55">
        <f>IFERROR(Costing[[#This Row],[BAS 2 Hours/Month]]*Costing[[#This Row],[BAS 2 Rate]],0)</f>
        <v>2.5</v>
      </c>
      <c r="AX62" s="11"/>
      <c r="AY62" s="11"/>
      <c r="AZ62" s="11"/>
      <c r="BA62" s="11"/>
      <c r="BB62" s="22" t="str">
        <f>IFERROR(Costing[[#This Row],[Minutes/IAS]]*Costing[[#This Row],[IAS Factor]]/60,"")</f>
        <v/>
      </c>
      <c r="BC62" s="23" t="str">
        <f>IFERROR(VLOOKUP(Costing[[#This Row],[IAS Team]],Staff_Info[],4,0),"")</f>
        <v/>
      </c>
      <c r="BD62" s="22" t="str">
        <f>IFERROR(VLOOKUP(Costing[[#This Row],[IAS Frequency]],Frequency[],2,0),"")</f>
        <v/>
      </c>
      <c r="BE62" s="56">
        <f>IFERROR(Costing[[#This Row],[IAS Hours/Month]]*Costing[[#This Row],[IAS Rate]],0)</f>
        <v>0</v>
      </c>
      <c r="BF62" s="11" t="s">
        <v>182</v>
      </c>
      <c r="BG62" s="11" t="s">
        <v>119</v>
      </c>
      <c r="BH62" s="11">
        <v>60</v>
      </c>
      <c r="BI62" s="23">
        <f>IFERROR(VLOOKUP(Costing[[#This Row],[EOFY Team 1]],Staff_Info[],4,0),"")</f>
        <v>50</v>
      </c>
      <c r="BJ62" s="57">
        <f>Costing[[#This Row],[Time Min 1]]/12</f>
        <v>5</v>
      </c>
      <c r="BK62" s="11" t="s">
        <v>117</v>
      </c>
      <c r="BL62" s="11">
        <v>60</v>
      </c>
      <c r="BM62" s="23">
        <f>IFERROR(VLOOKUP(Costing[[#This Row],[EOFY Team 2]],Staff_Info[],4,0),"")</f>
        <v>30</v>
      </c>
      <c r="BN62" s="57">
        <f>Costing[[#This Row],[Time Min 2]]/12</f>
        <v>5</v>
      </c>
      <c r="BO62" s="55">
        <f>IFERROR((Costing[[#This Row],[EOFY 1 Min/Month]]/60*Costing[[#This Row],[EOFY Team 1 Rate]])+(Costing[[#This Row],[EOFY 2 Min/Month]]/60*Costing[[#This Row],[EOFY Team 2 Rate]]),0)</f>
        <v>6.6666666666666661</v>
      </c>
      <c r="BP62" s="11" t="s">
        <v>171</v>
      </c>
      <c r="BQ62" s="55">
        <f>IFERROR(VLOOKUP(Costing[[#This Row],[Software Name]],Software[],2,0),0)</f>
        <v>18.190000000000001</v>
      </c>
      <c r="BR62" s="59" t="s">
        <v>294</v>
      </c>
      <c r="BS62" s="11" t="s">
        <v>126</v>
      </c>
      <c r="BT62" s="60">
        <f>IF(Costing[[#This Row],[Minutes/Activity]]&gt;0,Costing[[#This Row],[Minutes/Activity]]*Costing[[#This Row],[Onboarding Factor]],"")</f>
        <v>357</v>
      </c>
      <c r="BU62" s="60">
        <f>IFERROR(Costing[[#This Row],[Onboarding Minutes]]/60,)</f>
        <v>5.95</v>
      </c>
      <c r="BV62" s="60">
        <f t="shared" si="2"/>
        <v>79.92</v>
      </c>
      <c r="BW62" s="61">
        <f>IFERROR(VLOOKUP(Costing[[#This Row],[Onboarding Team]],Staff_Info[],4,0),"")</f>
        <v>50</v>
      </c>
      <c r="BX62" s="60">
        <f t="shared" si="3"/>
        <v>5.95</v>
      </c>
      <c r="BY62" s="55">
        <f>IFERROR(Costing[[#This Row],[Onboarding Hours]]/Costing[[#This Row],[Client Life Expectancy (Months)]]*Costing[[#This Row],[Onboarding Rate]],0)</f>
        <v>3.7224724724724725</v>
      </c>
      <c r="BZ62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37.889139139139139</v>
      </c>
      <c r="CA62" s="27">
        <v>72.72</v>
      </c>
      <c r="CB62" s="63">
        <f>IFERROR((Costing[[#This Row],[Current Sales Price]]-Costing[[#This Row],[Total  Cost excl. Software]])/Costing[[#This Row],[Current Sales Price]],)</f>
        <v>0.47897223406024286</v>
      </c>
      <c r="CC62" s="64">
        <f>Costing[[#This Row],[Total  Cost excl. Software]]/(1-$CC$1)</f>
        <v>108.25468325468326</v>
      </c>
    </row>
    <row r="63" spans="1:81" x14ac:dyDescent="0.2">
      <c r="A63" s="11" t="s">
        <v>67</v>
      </c>
      <c r="B63" s="48" t="s">
        <v>145</v>
      </c>
      <c r="C63" s="17" t="s">
        <v>116</v>
      </c>
      <c r="D63" s="17" t="s">
        <v>155</v>
      </c>
      <c r="E63" s="17">
        <v>30</v>
      </c>
      <c r="F63" s="21">
        <f>IFERROR(Costing[[#This Row],[Minutes/Pay Run]]*Costing[[#This Row],[Payroll Factor]]/60,"")</f>
        <v>1.0833333333333333</v>
      </c>
      <c r="G63" s="54">
        <f>IFERROR(VLOOKUP(Costing[[#This Row],[Payroll Team]],Staff_Info[],4,0),"")</f>
        <v>10</v>
      </c>
      <c r="H63" s="21">
        <f>IFERROR(VLOOKUP(Costing[[#This Row],[Payroll Frequency]],Frequency[],2,0),"")</f>
        <v>2.1666666666666665</v>
      </c>
      <c r="I63" s="55">
        <f>IFERROR(Costing[[#This Row],[Payroll Hours/Month]]*Costing[[#This Row],[Payroll Rate]],0)</f>
        <v>10.833333333333332</v>
      </c>
      <c r="J63" s="54" t="s">
        <v>176</v>
      </c>
      <c r="K63" s="11" t="s">
        <v>116</v>
      </c>
      <c r="L63" s="11" t="s">
        <v>157</v>
      </c>
      <c r="M63" s="11">
        <v>15</v>
      </c>
      <c r="N63" s="22">
        <f>IFERROR(Costing[[#This Row],[Minutes/Super]]*Costing[[#This Row],[Super Factor]]/60,"")</f>
        <v>8.3333333333333329E-2</v>
      </c>
      <c r="O63" s="23">
        <f>IFERROR(VLOOKUP(Costing[[#This Row],[Super Team]],Staff_Info[],4,0),"")</f>
        <v>10</v>
      </c>
      <c r="P63" s="22">
        <f>IFERROR(VLOOKUP(Costing[[#This Row],[Super Frequency]],Frequency[],2,0),"")</f>
        <v>0.33333333333333331</v>
      </c>
      <c r="Q63" s="55">
        <f>IFERROR(Costing[[#This Row],[Super Hours/Month]]*Costing[[#This Row],[Super Rate]],0)</f>
        <v>0.83333333333333326</v>
      </c>
      <c r="R63" s="11" t="s">
        <v>177</v>
      </c>
      <c r="S63" s="11" t="s">
        <v>116</v>
      </c>
      <c r="T63" s="11" t="s">
        <v>183</v>
      </c>
      <c r="U63" s="11">
        <v>240</v>
      </c>
      <c r="V63" s="22">
        <f>IFERROR(Costing[[#This Row],[Minutes/Activity]]*Costing[[#This Row],[Bookkeeping Factor]]/60,"")</f>
        <v>4</v>
      </c>
      <c r="W63" s="23">
        <f>IFERROR(VLOOKUP(Costing[[#This Row],[Bookkeeping Team]],Staff_Info[],4,0),"")</f>
        <v>10</v>
      </c>
      <c r="X63" s="22">
        <f>IFERROR(VLOOKUP(Costing[[#This Row],[Bookkeeping Frequency]],Frequency[],2,0),"")</f>
        <v>1</v>
      </c>
      <c r="Y63" s="55">
        <f>IFERROR(Costing[[#This Row],[Bookkeeping Hours/Month]]*Costing[[#This Row],[Bookkeeping Rate]],0)</f>
        <v>40</v>
      </c>
      <c r="Z63" s="11" t="s">
        <v>178</v>
      </c>
      <c r="AA63" s="11" t="s">
        <v>126</v>
      </c>
      <c r="AB63" s="11" t="s">
        <v>183</v>
      </c>
      <c r="AC63" s="11">
        <v>60</v>
      </c>
      <c r="AD63" s="22">
        <f>IFERROR(Costing[[#This Row],[Minutes/Report]]*Costing[[#This Row],[Reporting Factor]]/60,"")</f>
        <v>1</v>
      </c>
      <c r="AE63" s="23">
        <f>IFERROR(VLOOKUP(Costing[[#This Row],[Reporting Team]],Staff_Info[],4,0),"")</f>
        <v>50</v>
      </c>
      <c r="AF63" s="22">
        <f>IFERROR(VLOOKUP(Costing[[#This Row],[Reporting Frequency]],Frequency[],2,0),"")</f>
        <v>1</v>
      </c>
      <c r="AG63" s="55">
        <f>IFERROR(Costing[[#This Row],[Reporting Hours/Month]]*Costing[[#This Row],[Reporting Rate]],0)</f>
        <v>50</v>
      </c>
      <c r="AH63" s="11" t="s">
        <v>179</v>
      </c>
      <c r="AI63" s="11" t="s">
        <v>116</v>
      </c>
      <c r="AJ63" s="11" t="s">
        <v>157</v>
      </c>
      <c r="AK63" s="11">
        <v>60</v>
      </c>
      <c r="AL63" s="22">
        <f>IFERROR(Costing[[#This Row],[Minutes/BAS 1]]*Costing[[#This Row],[BAS 1 Factor]]/60,"")</f>
        <v>0.33333333333333331</v>
      </c>
      <c r="AM63" s="23">
        <f>IFERROR(VLOOKUP(Costing[[#This Row],[BAS 1 Team]],Staff_Info[],4,0),"")</f>
        <v>10</v>
      </c>
      <c r="AN63" s="22">
        <f>IFERROR(VLOOKUP(Costing[[#This Row],[BAS 1 Frequency]],Frequency[],2,0),"")</f>
        <v>0.33333333333333331</v>
      </c>
      <c r="AO63" s="55">
        <f>IFERROR(Costing[[#This Row],[BAS 1 Hours/Month]]*Costing[[#This Row],[BAS 1 Rate]],0)</f>
        <v>3.333333333333333</v>
      </c>
      <c r="AP63" s="11" t="s">
        <v>180</v>
      </c>
      <c r="AQ63" s="11" t="s">
        <v>117</v>
      </c>
      <c r="AR63" s="11" t="s">
        <v>157</v>
      </c>
      <c r="AS63" s="11">
        <v>15</v>
      </c>
      <c r="AT63" s="22">
        <f>IFERROR(Costing[[#This Row],[Minutes/BAS 2]]*Costing[[#This Row],[BAS 2 Factor]]/60,"")</f>
        <v>8.3333333333333329E-2</v>
      </c>
      <c r="AU63" s="23">
        <f>IFERROR(VLOOKUP(Costing[[#This Row],[BAS 2 Team]],Staff_Info[],4,0),"")</f>
        <v>30</v>
      </c>
      <c r="AV63" s="22">
        <f>IFERROR(VLOOKUP(Costing[[#This Row],[BAS 2 Frequency]],Frequency[],2,0),"")</f>
        <v>0.33333333333333331</v>
      </c>
      <c r="AW63" s="55">
        <f>IFERROR(Costing[[#This Row],[BAS 2 Hours/Month]]*Costing[[#This Row],[BAS 2 Rate]],0)</f>
        <v>2.5</v>
      </c>
      <c r="AX63" s="11" t="s">
        <v>181</v>
      </c>
      <c r="AY63" s="11" t="s">
        <v>117</v>
      </c>
      <c r="AZ63" s="11" t="s">
        <v>183</v>
      </c>
      <c r="BA63" s="11">
        <v>30</v>
      </c>
      <c r="BB63" s="22">
        <f>IFERROR(Costing[[#This Row],[Minutes/IAS]]*Costing[[#This Row],[IAS Factor]]/60,"")</f>
        <v>0.5</v>
      </c>
      <c r="BC63" s="23">
        <f>IFERROR(VLOOKUP(Costing[[#This Row],[IAS Team]],Staff_Info[],4,0),"")</f>
        <v>30</v>
      </c>
      <c r="BD63" s="22">
        <f>IFERROR(VLOOKUP(Costing[[#This Row],[IAS Frequency]],Frequency[],2,0),"")</f>
        <v>1</v>
      </c>
      <c r="BE63" s="56">
        <f>IFERROR(Costing[[#This Row],[IAS Hours/Month]]*Costing[[#This Row],[IAS Rate]],0)</f>
        <v>15</v>
      </c>
      <c r="BF63" s="11" t="s">
        <v>182</v>
      </c>
      <c r="BG63" s="11" t="s">
        <v>126</v>
      </c>
      <c r="BH63" s="11">
        <v>120</v>
      </c>
      <c r="BI63" s="23">
        <f>IFERROR(VLOOKUP(Costing[[#This Row],[EOFY Team 1]],Staff_Info[],4,0),"")</f>
        <v>50</v>
      </c>
      <c r="BJ63" s="57">
        <f>Costing[[#This Row],[Time Min 1]]/12</f>
        <v>10</v>
      </c>
      <c r="BK63" s="11" t="s">
        <v>116</v>
      </c>
      <c r="BL63" s="11">
        <v>120</v>
      </c>
      <c r="BM63" s="23">
        <f>IFERROR(VLOOKUP(Costing[[#This Row],[EOFY Team 2]],Staff_Info[],4,0),"")</f>
        <v>10</v>
      </c>
      <c r="BN63" s="57">
        <f>Costing[[#This Row],[Time Min 2]]/12</f>
        <v>10</v>
      </c>
      <c r="BO63" s="55">
        <f>IFERROR((Costing[[#This Row],[EOFY 1 Min/Month]]/60*Costing[[#This Row],[EOFY Team 1 Rate]])+(Costing[[#This Row],[EOFY 2 Min/Month]]/60*Costing[[#This Row],[EOFY Team 2 Rate]]),0)</f>
        <v>9.9999999999999982</v>
      </c>
      <c r="BP63" s="11" t="s">
        <v>164</v>
      </c>
      <c r="BQ63" s="55">
        <f>IFERROR(VLOOKUP(Costing[[#This Row],[Software Name]],Software[],2,0),0)</f>
        <v>47.27</v>
      </c>
      <c r="BR63" s="59" t="s">
        <v>294</v>
      </c>
      <c r="BS63" s="11" t="s">
        <v>126</v>
      </c>
      <c r="BT63" s="60">
        <f>IF(Costing[[#This Row],[Minutes/Activity]]&gt;0,Costing[[#This Row],[Minutes/Activity]]*Costing[[#This Row],[Onboarding Factor]],"")</f>
        <v>1428</v>
      </c>
      <c r="BU63" s="60">
        <f>IFERROR(Costing[[#This Row],[Onboarding Minutes]]/60,)</f>
        <v>23.8</v>
      </c>
      <c r="BV63" s="60">
        <f t="shared" si="2"/>
        <v>79.92</v>
      </c>
      <c r="BW63" s="61">
        <f>IFERROR(VLOOKUP(Costing[[#This Row],[Onboarding Team]],Staff_Info[],4,0),"")</f>
        <v>50</v>
      </c>
      <c r="BX63" s="60">
        <f t="shared" si="3"/>
        <v>5.95</v>
      </c>
      <c r="BY63" s="55">
        <f>IFERROR(Costing[[#This Row],[Onboarding Hours]]/Costing[[#This Row],[Client Life Expectancy (Months)]]*Costing[[#This Row],[Onboarding Rate]],0)</f>
        <v>14.88988988988989</v>
      </c>
      <c r="BZ63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147.38988988988987</v>
      </c>
      <c r="CA63" s="27">
        <v>377.54</v>
      </c>
      <c r="CB63" s="63">
        <f>IFERROR((Costing[[#This Row],[Current Sales Price]]-Costing[[#This Row],[Total  Cost excl. Software]])/Costing[[#This Row],[Current Sales Price]],)</f>
        <v>0.60960457199266338</v>
      </c>
      <c r="CC63" s="64">
        <f>Costing[[#This Row],[Total  Cost excl. Software]]/(1-$CC$1)</f>
        <v>421.1139711139711</v>
      </c>
    </row>
    <row r="64" spans="1:81" x14ac:dyDescent="0.2">
      <c r="A64" s="11" t="s">
        <v>66</v>
      </c>
      <c r="B64" s="48" t="s">
        <v>145</v>
      </c>
      <c r="C64" s="17" t="s">
        <v>116</v>
      </c>
      <c r="D64" s="17" t="s">
        <v>154</v>
      </c>
      <c r="E64" s="17">
        <v>20</v>
      </c>
      <c r="F64" s="21">
        <f>IFERROR(Costing[[#This Row],[Minutes/Pay Run]]*Costing[[#This Row],[Payroll Factor]]/60,"")</f>
        <v>1.4444444444444442</v>
      </c>
      <c r="G64" s="54">
        <f>IFERROR(VLOOKUP(Costing[[#This Row],[Payroll Team]],Staff_Info[],4,0),"")</f>
        <v>10</v>
      </c>
      <c r="H64" s="21">
        <f>IFERROR(VLOOKUP(Costing[[#This Row],[Payroll Frequency]],Frequency[],2,0),"")</f>
        <v>4.333333333333333</v>
      </c>
      <c r="I64" s="55">
        <f>IFERROR(Costing[[#This Row],[Payroll Hours/Month]]*Costing[[#This Row],[Payroll Rate]],0)</f>
        <v>14.444444444444443</v>
      </c>
      <c r="J64" s="54" t="s">
        <v>176</v>
      </c>
      <c r="K64" s="11" t="s">
        <v>116</v>
      </c>
      <c r="L64" s="11" t="s">
        <v>183</v>
      </c>
      <c r="M64" s="11">
        <v>15</v>
      </c>
      <c r="N64" s="22">
        <f>IFERROR(Costing[[#This Row],[Minutes/Super]]*Costing[[#This Row],[Super Factor]]/60,"")</f>
        <v>0.25</v>
      </c>
      <c r="O64" s="23">
        <f>IFERROR(VLOOKUP(Costing[[#This Row],[Super Team]],Staff_Info[],4,0),"")</f>
        <v>10</v>
      </c>
      <c r="P64" s="22">
        <f>IFERROR(VLOOKUP(Costing[[#This Row],[Super Frequency]],Frequency[],2,0),"")</f>
        <v>1</v>
      </c>
      <c r="Q64" s="55">
        <f>IFERROR(Costing[[#This Row],[Super Hours/Month]]*Costing[[#This Row],[Super Rate]],0)</f>
        <v>2.5</v>
      </c>
      <c r="R64" s="11" t="s">
        <v>177</v>
      </c>
      <c r="S64" s="11" t="s">
        <v>116</v>
      </c>
      <c r="T64" s="11" t="s">
        <v>183</v>
      </c>
      <c r="U64" s="11">
        <v>60</v>
      </c>
      <c r="V64" s="22">
        <f>IFERROR(Costing[[#This Row],[Minutes/Activity]]*Costing[[#This Row],[Bookkeeping Factor]]/60,"")</f>
        <v>1</v>
      </c>
      <c r="W64" s="23">
        <f>IFERROR(VLOOKUP(Costing[[#This Row],[Bookkeeping Team]],Staff_Info[],4,0),"")</f>
        <v>10</v>
      </c>
      <c r="X64" s="22">
        <f>IFERROR(VLOOKUP(Costing[[#This Row],[Bookkeeping Frequency]],Frequency[],2,0),"")</f>
        <v>1</v>
      </c>
      <c r="Y64" s="55">
        <f>IFERROR(Costing[[#This Row],[Bookkeeping Hours/Month]]*Costing[[#This Row],[Bookkeeping Rate]],0)</f>
        <v>10</v>
      </c>
      <c r="Z64" s="11" t="s">
        <v>178</v>
      </c>
      <c r="AA64" s="11" t="s">
        <v>116</v>
      </c>
      <c r="AB64" s="11" t="s">
        <v>183</v>
      </c>
      <c r="AC64" s="11">
        <v>20</v>
      </c>
      <c r="AD64" s="22">
        <f>IFERROR(Costing[[#This Row],[Minutes/Report]]*Costing[[#This Row],[Reporting Factor]]/60,"")</f>
        <v>0.33333333333333331</v>
      </c>
      <c r="AE64" s="23">
        <f>IFERROR(VLOOKUP(Costing[[#This Row],[Reporting Team]],Staff_Info[],4,0),"")</f>
        <v>10</v>
      </c>
      <c r="AF64" s="22">
        <f>IFERROR(VLOOKUP(Costing[[#This Row],[Reporting Frequency]],Frequency[],2,0),"")</f>
        <v>1</v>
      </c>
      <c r="AG64" s="55">
        <f>IFERROR(Costing[[#This Row],[Reporting Hours/Month]]*Costing[[#This Row],[Reporting Rate]],0)</f>
        <v>3.333333333333333</v>
      </c>
      <c r="AH64" s="11" t="s">
        <v>179</v>
      </c>
      <c r="AI64" s="11" t="s">
        <v>116</v>
      </c>
      <c r="AJ64" s="11" t="s">
        <v>157</v>
      </c>
      <c r="AK64" s="11">
        <v>60</v>
      </c>
      <c r="AL64" s="22">
        <f>IFERROR(Costing[[#This Row],[Minutes/BAS 1]]*Costing[[#This Row],[BAS 1 Factor]]/60,"")</f>
        <v>0.33333333333333331</v>
      </c>
      <c r="AM64" s="23">
        <f>IFERROR(VLOOKUP(Costing[[#This Row],[BAS 1 Team]],Staff_Info[],4,0),"")</f>
        <v>10</v>
      </c>
      <c r="AN64" s="22">
        <f>IFERROR(VLOOKUP(Costing[[#This Row],[BAS 1 Frequency]],Frequency[],2,0),"")</f>
        <v>0.33333333333333331</v>
      </c>
      <c r="AO64" s="55">
        <f>IFERROR(Costing[[#This Row],[BAS 1 Hours/Month]]*Costing[[#This Row],[BAS 1 Rate]],0)</f>
        <v>3.333333333333333</v>
      </c>
      <c r="AP64" s="11" t="s">
        <v>180</v>
      </c>
      <c r="AQ64" s="11" t="s">
        <v>117</v>
      </c>
      <c r="AR64" s="11" t="s">
        <v>157</v>
      </c>
      <c r="AS64" s="11">
        <v>15</v>
      </c>
      <c r="AT64" s="22">
        <f>IFERROR(Costing[[#This Row],[Minutes/BAS 2]]*Costing[[#This Row],[BAS 2 Factor]]/60,"")</f>
        <v>8.3333333333333329E-2</v>
      </c>
      <c r="AU64" s="23">
        <f>IFERROR(VLOOKUP(Costing[[#This Row],[BAS 2 Team]],Staff_Info[],4,0),"")</f>
        <v>30</v>
      </c>
      <c r="AV64" s="22">
        <f>IFERROR(VLOOKUP(Costing[[#This Row],[BAS 2 Frequency]],Frequency[],2,0),"")</f>
        <v>0.33333333333333331</v>
      </c>
      <c r="AW64" s="55">
        <f>IFERROR(Costing[[#This Row],[BAS 2 Hours/Month]]*Costing[[#This Row],[BAS 2 Rate]],0)</f>
        <v>2.5</v>
      </c>
      <c r="AX64" s="11" t="s">
        <v>181</v>
      </c>
      <c r="AY64" s="11" t="s">
        <v>117</v>
      </c>
      <c r="AZ64" s="11" t="s">
        <v>183</v>
      </c>
      <c r="BA64" s="11">
        <v>30</v>
      </c>
      <c r="BB64" s="22">
        <f>IFERROR(Costing[[#This Row],[Minutes/IAS]]*Costing[[#This Row],[IAS Factor]]/60,"")</f>
        <v>0.5</v>
      </c>
      <c r="BC64" s="23">
        <f>IFERROR(VLOOKUP(Costing[[#This Row],[IAS Team]],Staff_Info[],4,0),"")</f>
        <v>30</v>
      </c>
      <c r="BD64" s="22">
        <f>IFERROR(VLOOKUP(Costing[[#This Row],[IAS Frequency]],Frequency[],2,0),"")</f>
        <v>1</v>
      </c>
      <c r="BE64" s="56">
        <f>IFERROR(Costing[[#This Row],[IAS Hours/Month]]*Costing[[#This Row],[IAS Rate]],0)</f>
        <v>15</v>
      </c>
      <c r="BF64" s="11" t="s">
        <v>182</v>
      </c>
      <c r="BG64" s="11" t="s">
        <v>119</v>
      </c>
      <c r="BH64" s="11">
        <v>120</v>
      </c>
      <c r="BI64" s="23">
        <f>IFERROR(VLOOKUP(Costing[[#This Row],[EOFY Team 1]],Staff_Info[],4,0),"")</f>
        <v>50</v>
      </c>
      <c r="BJ64" s="57">
        <f>Costing[[#This Row],[Time Min 1]]/12</f>
        <v>10</v>
      </c>
      <c r="BK64" s="11" t="s">
        <v>116</v>
      </c>
      <c r="BL64" s="11">
        <v>120</v>
      </c>
      <c r="BM64" s="23">
        <f>IFERROR(VLOOKUP(Costing[[#This Row],[EOFY Team 2]],Staff_Info[],4,0),"")</f>
        <v>10</v>
      </c>
      <c r="BN64" s="57">
        <f>Costing[[#This Row],[Time Min 2]]/12</f>
        <v>10</v>
      </c>
      <c r="BO64" s="55">
        <f>IFERROR((Costing[[#This Row],[EOFY 1 Min/Month]]/60*Costing[[#This Row],[EOFY Team 1 Rate]])+(Costing[[#This Row],[EOFY 2 Min/Month]]/60*Costing[[#This Row],[EOFY Team 2 Rate]]),0)</f>
        <v>9.9999999999999982</v>
      </c>
      <c r="BP64" s="11" t="s">
        <v>174</v>
      </c>
      <c r="BQ64" s="55">
        <f>IFERROR(VLOOKUP(Costing[[#This Row],[Software Name]],Software[],2,0),0)</f>
        <v>0</v>
      </c>
      <c r="BR64" s="59" t="s">
        <v>294</v>
      </c>
      <c r="BS64" s="11" t="s">
        <v>119</v>
      </c>
      <c r="BT64" s="60">
        <f>IF(Costing[[#This Row],[Minutes/Activity]]&gt;0,Costing[[#This Row],[Minutes/Activity]]*Costing[[#This Row],[Onboarding Factor]],"")</f>
        <v>357</v>
      </c>
      <c r="BU64" s="60">
        <f>IFERROR(Costing[[#This Row],[Onboarding Minutes]]/60,)</f>
        <v>5.95</v>
      </c>
      <c r="BV64" s="60">
        <f t="shared" si="2"/>
        <v>79.92</v>
      </c>
      <c r="BW64" s="61">
        <f>IFERROR(VLOOKUP(Costing[[#This Row],[Onboarding Team]],Staff_Info[],4,0),"")</f>
        <v>50</v>
      </c>
      <c r="BX64" s="60">
        <f t="shared" si="3"/>
        <v>5.95</v>
      </c>
      <c r="BY64" s="55">
        <f>IFERROR(Costing[[#This Row],[Onboarding Hours]]/Costing[[#This Row],[Client Life Expectancy (Months)]]*Costing[[#This Row],[Onboarding Rate]],0)</f>
        <v>3.7224724724724725</v>
      </c>
      <c r="BZ64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64.833583583583575</v>
      </c>
      <c r="CA64" s="27">
        <v>200</v>
      </c>
      <c r="CB64" s="63">
        <f>IFERROR((Costing[[#This Row],[Current Sales Price]]-Costing[[#This Row],[Total  Cost excl. Software]])/Costing[[#This Row],[Current Sales Price]],)</f>
        <v>0.67583208208208223</v>
      </c>
      <c r="CC64" s="64">
        <f>Costing[[#This Row],[Total  Cost excl. Software]]/(1-$CC$1)</f>
        <v>185.23881023881023</v>
      </c>
    </row>
    <row r="65" spans="1:81" x14ac:dyDescent="0.2">
      <c r="A65" s="11" t="s">
        <v>68</v>
      </c>
      <c r="B65" s="48"/>
      <c r="C65" s="17"/>
      <c r="D65" s="17"/>
      <c r="E65" s="17"/>
      <c r="F65" s="21" t="str">
        <f>IFERROR(Costing[[#This Row],[Minutes/Pay Run]]*Costing[[#This Row],[Payroll Factor]]/60,"")</f>
        <v/>
      </c>
      <c r="G65" s="54" t="str">
        <f>IFERROR(VLOOKUP(Costing[[#This Row],[Payroll Team]],Staff_Info[],4,0),"")</f>
        <v/>
      </c>
      <c r="H65" s="21" t="str">
        <f>IFERROR(VLOOKUP(Costing[[#This Row],[Payroll Frequency]],Frequency[],2,0),"")</f>
        <v/>
      </c>
      <c r="I65" s="55">
        <f>IFERROR(Costing[[#This Row],[Payroll Hours/Month]]*Costing[[#This Row],[Payroll Rate]],0)</f>
        <v>0</v>
      </c>
      <c r="J65" s="54"/>
      <c r="K65" s="11"/>
      <c r="L65" s="11"/>
      <c r="M65" s="11"/>
      <c r="N65" s="22" t="str">
        <f>IFERROR(Costing[[#This Row],[Minutes/Super]]*Costing[[#This Row],[Super Factor]]/60,"")</f>
        <v/>
      </c>
      <c r="O65" s="23" t="str">
        <f>IFERROR(VLOOKUP(Costing[[#This Row],[Super Team]],Staff_Info[],4,0),"")</f>
        <v/>
      </c>
      <c r="P65" s="22" t="str">
        <f>IFERROR(VLOOKUP(Costing[[#This Row],[Super Frequency]],Frequency[],2,0),"")</f>
        <v/>
      </c>
      <c r="Q65" s="55">
        <f>IFERROR(Costing[[#This Row],[Super Hours/Month]]*Costing[[#This Row],[Super Rate]],0)</f>
        <v>0</v>
      </c>
      <c r="R65" s="11" t="s">
        <v>177</v>
      </c>
      <c r="S65" s="11" t="s">
        <v>117</v>
      </c>
      <c r="T65" s="11" t="s">
        <v>183</v>
      </c>
      <c r="U65" s="11">
        <v>166</v>
      </c>
      <c r="V65" s="22">
        <f>IFERROR(Costing[[#This Row],[Minutes/Activity]]*Costing[[#This Row],[Bookkeeping Factor]]/60,"")</f>
        <v>2.7666666666666666</v>
      </c>
      <c r="W65" s="23">
        <f>IFERROR(VLOOKUP(Costing[[#This Row],[Bookkeeping Team]],Staff_Info[],4,0),"")</f>
        <v>30</v>
      </c>
      <c r="X65" s="22">
        <f>IFERROR(VLOOKUP(Costing[[#This Row],[Bookkeeping Frequency]],Frequency[],2,0),"")</f>
        <v>1</v>
      </c>
      <c r="Y65" s="55">
        <f>IFERROR(Costing[[#This Row],[Bookkeeping Hours/Month]]*Costing[[#This Row],[Bookkeeping Rate]],0)</f>
        <v>83</v>
      </c>
      <c r="Z65" s="11" t="s">
        <v>178</v>
      </c>
      <c r="AA65" s="11" t="s">
        <v>126</v>
      </c>
      <c r="AB65" s="11" t="s">
        <v>183</v>
      </c>
      <c r="AC65" s="11">
        <v>20</v>
      </c>
      <c r="AD65" s="22">
        <f>IFERROR(Costing[[#This Row],[Minutes/Report]]*Costing[[#This Row],[Reporting Factor]]/60,"")</f>
        <v>0.33333333333333331</v>
      </c>
      <c r="AE65" s="23">
        <f>IFERROR(VLOOKUP(Costing[[#This Row],[Reporting Team]],Staff_Info[],4,0),"")</f>
        <v>50</v>
      </c>
      <c r="AF65" s="22">
        <f>IFERROR(VLOOKUP(Costing[[#This Row],[Reporting Frequency]],Frequency[],2,0),"")</f>
        <v>1</v>
      </c>
      <c r="AG65" s="55">
        <f>IFERROR(Costing[[#This Row],[Reporting Hours/Month]]*Costing[[#This Row],[Reporting Rate]],0)</f>
        <v>16.666666666666664</v>
      </c>
      <c r="AH65" s="11"/>
      <c r="AI65" s="11"/>
      <c r="AJ65" s="11"/>
      <c r="AK65" s="11"/>
      <c r="AL65" s="22" t="str">
        <f>IFERROR(Costing[[#This Row],[Minutes/BAS 1]]*Costing[[#This Row],[BAS 1 Factor]]/60,"")</f>
        <v/>
      </c>
      <c r="AM65" s="23" t="str">
        <f>IFERROR(VLOOKUP(Costing[[#This Row],[BAS 1 Team]],Staff_Info[],4,0),"")</f>
        <v/>
      </c>
      <c r="AN65" s="22" t="str">
        <f>IFERROR(VLOOKUP(Costing[[#This Row],[BAS 1 Frequency]],Frequency[],2,0),"")</f>
        <v/>
      </c>
      <c r="AO65" s="55">
        <f>IFERROR(Costing[[#This Row],[BAS 1 Hours/Month]]*Costing[[#This Row],[BAS 1 Rate]],0)</f>
        <v>0</v>
      </c>
      <c r="AP65" s="11"/>
      <c r="AQ65" s="11"/>
      <c r="AR65" s="11"/>
      <c r="AS65" s="11"/>
      <c r="AT65" s="22" t="str">
        <f>IFERROR(Costing[[#This Row],[Minutes/BAS 2]]*Costing[[#This Row],[BAS 2 Factor]]/60,"")</f>
        <v/>
      </c>
      <c r="AU65" s="23" t="str">
        <f>IFERROR(VLOOKUP(Costing[[#This Row],[BAS 2 Team]],Staff_Info[],4,0),"")</f>
        <v/>
      </c>
      <c r="AV65" s="22" t="str">
        <f>IFERROR(VLOOKUP(Costing[[#This Row],[BAS 2 Frequency]],Frequency[],2,0),"")</f>
        <v/>
      </c>
      <c r="AW65" s="55">
        <f>IFERROR(Costing[[#This Row],[BAS 2 Hours/Month]]*Costing[[#This Row],[BAS 2 Rate]],0)</f>
        <v>0</v>
      </c>
      <c r="AX65" s="11"/>
      <c r="AY65" s="11"/>
      <c r="AZ65" s="11"/>
      <c r="BA65" s="11"/>
      <c r="BB65" s="22" t="str">
        <f>IFERROR(Costing[[#This Row],[Minutes/IAS]]*Costing[[#This Row],[IAS Factor]]/60,"")</f>
        <v/>
      </c>
      <c r="BC65" s="23" t="str">
        <f>IFERROR(VLOOKUP(Costing[[#This Row],[IAS Team]],Staff_Info[],4,0),"")</f>
        <v/>
      </c>
      <c r="BD65" s="22" t="str">
        <f>IFERROR(VLOOKUP(Costing[[#This Row],[IAS Frequency]],Frequency[],2,0),"")</f>
        <v/>
      </c>
      <c r="BE65" s="56">
        <f>IFERROR(Costing[[#This Row],[IAS Hours/Month]]*Costing[[#This Row],[IAS Rate]],0)</f>
        <v>0</v>
      </c>
      <c r="BF65" s="11" t="s">
        <v>182</v>
      </c>
      <c r="BG65" s="11" t="s">
        <v>126</v>
      </c>
      <c r="BH65" s="11">
        <v>120</v>
      </c>
      <c r="BI65" s="23">
        <f>IFERROR(VLOOKUP(Costing[[#This Row],[EOFY Team 1]],Staff_Info[],4,0),"")</f>
        <v>50</v>
      </c>
      <c r="BJ65" s="57">
        <f>Costing[[#This Row],[Time Min 1]]/12</f>
        <v>10</v>
      </c>
      <c r="BK65" s="11" t="s">
        <v>117</v>
      </c>
      <c r="BL65" s="11">
        <v>120</v>
      </c>
      <c r="BM65" s="23">
        <f>IFERROR(VLOOKUP(Costing[[#This Row],[EOFY Team 2]],Staff_Info[],4,0),"")</f>
        <v>30</v>
      </c>
      <c r="BN65" s="57">
        <f>Costing[[#This Row],[Time Min 2]]/12</f>
        <v>10</v>
      </c>
      <c r="BO65" s="55">
        <f>IFERROR((Costing[[#This Row],[EOFY 1 Min/Month]]/60*Costing[[#This Row],[EOFY Team 1 Rate]])+(Costing[[#This Row],[EOFY 2 Min/Month]]/60*Costing[[#This Row],[EOFY Team 2 Rate]]),0)</f>
        <v>13.333333333333332</v>
      </c>
      <c r="BP65" s="11"/>
      <c r="BQ65" s="55">
        <f>IFERROR(VLOOKUP(Costing[[#This Row],[Software Name]],Software[],2,0),0)</f>
        <v>0</v>
      </c>
      <c r="BR65" s="59" t="s">
        <v>294</v>
      </c>
      <c r="BS65" s="11" t="s">
        <v>126</v>
      </c>
      <c r="BT65" s="60">
        <f>IF(Costing[[#This Row],[Minutes/Activity]]&gt;0,Costing[[#This Row],[Minutes/Activity]]*Costing[[#This Row],[Onboarding Factor]],"")</f>
        <v>987.7</v>
      </c>
      <c r="BU65" s="60">
        <f>IFERROR(Costing[[#This Row],[Onboarding Minutes]]/60,)</f>
        <v>16.461666666666666</v>
      </c>
      <c r="BV65" s="60">
        <f t="shared" si="2"/>
        <v>79.92</v>
      </c>
      <c r="BW65" s="61">
        <f>IFERROR(VLOOKUP(Costing[[#This Row],[Onboarding Team]],Staff_Info[],4,0),"")</f>
        <v>50</v>
      </c>
      <c r="BX65" s="60">
        <f t="shared" si="3"/>
        <v>5.95</v>
      </c>
      <c r="BY65" s="55">
        <f>IFERROR(Costing[[#This Row],[Onboarding Hours]]/Costing[[#This Row],[Client Life Expectancy (Months)]]*Costing[[#This Row],[Onboarding Rate]],0)</f>
        <v>10.298840507173839</v>
      </c>
      <c r="BZ65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123.29884050717382</v>
      </c>
      <c r="CA65" s="27">
        <v>186</v>
      </c>
      <c r="CB65" s="63">
        <f>IFERROR((Costing[[#This Row],[Current Sales Price]]-Costing[[#This Row],[Total  Cost excl. Software]])/Costing[[#This Row],[Current Sales Price]],)</f>
        <v>0.33710300802594717</v>
      </c>
      <c r="CC65" s="64">
        <f>Costing[[#This Row],[Total  Cost excl. Software]]/(1-$CC$1)</f>
        <v>352.28240144906806</v>
      </c>
    </row>
    <row r="66" spans="1:81" x14ac:dyDescent="0.2">
      <c r="A66" s="11" t="s">
        <v>69</v>
      </c>
      <c r="B66" s="48"/>
      <c r="C66" s="17"/>
      <c r="D66" s="17"/>
      <c r="E66" s="17"/>
      <c r="F66" s="21" t="str">
        <f>IFERROR(Costing[[#This Row],[Minutes/Pay Run]]*Costing[[#This Row],[Payroll Factor]]/60,"")</f>
        <v/>
      </c>
      <c r="G66" s="54" t="str">
        <f>IFERROR(VLOOKUP(Costing[[#This Row],[Payroll Team]],Staff_Info[],4,0),"")</f>
        <v/>
      </c>
      <c r="H66" s="21" t="str">
        <f>IFERROR(VLOOKUP(Costing[[#This Row],[Payroll Frequency]],Frequency[],2,0),"")</f>
        <v/>
      </c>
      <c r="I66" s="55">
        <f>IFERROR(Costing[[#This Row],[Payroll Hours/Month]]*Costing[[#This Row],[Payroll Rate]],0)</f>
        <v>0</v>
      </c>
      <c r="J66" s="54"/>
      <c r="K66" s="11"/>
      <c r="L66" s="11"/>
      <c r="M66" s="11"/>
      <c r="N66" s="22" t="str">
        <f>IFERROR(Costing[[#This Row],[Minutes/Super]]*Costing[[#This Row],[Super Factor]]/60,"")</f>
        <v/>
      </c>
      <c r="O66" s="23" t="str">
        <f>IFERROR(VLOOKUP(Costing[[#This Row],[Super Team]],Staff_Info[],4,0),"")</f>
        <v/>
      </c>
      <c r="P66" s="22" t="str">
        <f>IFERROR(VLOOKUP(Costing[[#This Row],[Super Frequency]],Frequency[],2,0),"")</f>
        <v/>
      </c>
      <c r="Q66" s="55">
        <f>IFERROR(Costing[[#This Row],[Super Hours/Month]]*Costing[[#This Row],[Super Rate]],0)</f>
        <v>0</v>
      </c>
      <c r="R66" s="11" t="s">
        <v>177</v>
      </c>
      <c r="S66" s="11" t="s">
        <v>117</v>
      </c>
      <c r="T66" s="11" t="s">
        <v>183</v>
      </c>
      <c r="U66" s="11">
        <v>100</v>
      </c>
      <c r="V66" s="22">
        <f>IFERROR(Costing[[#This Row],[Minutes/Activity]]*Costing[[#This Row],[Bookkeeping Factor]]/60,"")</f>
        <v>1.6666666666666667</v>
      </c>
      <c r="W66" s="23">
        <f>IFERROR(VLOOKUP(Costing[[#This Row],[Bookkeeping Team]],Staff_Info[],4,0),"")</f>
        <v>30</v>
      </c>
      <c r="X66" s="22">
        <f>IFERROR(VLOOKUP(Costing[[#This Row],[Bookkeeping Frequency]],Frequency[],2,0),"")</f>
        <v>1</v>
      </c>
      <c r="Y66" s="55">
        <f>IFERROR(Costing[[#This Row],[Bookkeeping Hours/Month]]*Costing[[#This Row],[Bookkeeping Rate]],0)</f>
        <v>50</v>
      </c>
      <c r="Z66" s="11" t="s">
        <v>178</v>
      </c>
      <c r="AA66" s="11" t="s">
        <v>126</v>
      </c>
      <c r="AB66" s="11" t="s">
        <v>183</v>
      </c>
      <c r="AC66" s="11">
        <v>600</v>
      </c>
      <c r="AD66" s="22">
        <f>IFERROR(Costing[[#This Row],[Minutes/Report]]*Costing[[#This Row],[Reporting Factor]]/60,"")</f>
        <v>10</v>
      </c>
      <c r="AE66" s="23">
        <f>IFERROR(VLOOKUP(Costing[[#This Row],[Reporting Team]],Staff_Info[],4,0),"")</f>
        <v>50</v>
      </c>
      <c r="AF66" s="22">
        <f>IFERROR(VLOOKUP(Costing[[#This Row],[Reporting Frequency]],Frequency[],2,0),"")</f>
        <v>1</v>
      </c>
      <c r="AG66" s="55">
        <f>IFERROR(Costing[[#This Row],[Reporting Hours/Month]]*Costing[[#This Row],[Reporting Rate]],0)</f>
        <v>500</v>
      </c>
      <c r="AH66" s="11" t="s">
        <v>179</v>
      </c>
      <c r="AI66" s="11" t="s">
        <v>117</v>
      </c>
      <c r="AJ66" s="11" t="s">
        <v>157</v>
      </c>
      <c r="AK66" s="11">
        <v>60</v>
      </c>
      <c r="AL66" s="22">
        <f>IFERROR(Costing[[#This Row],[Minutes/BAS 1]]*Costing[[#This Row],[BAS 1 Factor]]/60,"")</f>
        <v>0.33333333333333331</v>
      </c>
      <c r="AM66" s="23">
        <f>IFERROR(VLOOKUP(Costing[[#This Row],[BAS 1 Team]],Staff_Info[],4,0),"")</f>
        <v>30</v>
      </c>
      <c r="AN66" s="22">
        <f>IFERROR(VLOOKUP(Costing[[#This Row],[BAS 1 Frequency]],Frequency[],2,0),"")</f>
        <v>0.33333333333333331</v>
      </c>
      <c r="AO66" s="55">
        <f>IFERROR(Costing[[#This Row],[BAS 1 Hours/Month]]*Costing[[#This Row],[BAS 1 Rate]],0)</f>
        <v>10</v>
      </c>
      <c r="AP66" s="11" t="s">
        <v>180</v>
      </c>
      <c r="AQ66" s="11" t="s">
        <v>117</v>
      </c>
      <c r="AR66" s="11" t="s">
        <v>157</v>
      </c>
      <c r="AS66" s="11">
        <v>15</v>
      </c>
      <c r="AT66" s="22">
        <f>IFERROR(Costing[[#This Row],[Minutes/BAS 2]]*Costing[[#This Row],[BAS 2 Factor]]/60,"")</f>
        <v>8.3333333333333329E-2</v>
      </c>
      <c r="AU66" s="23">
        <f>IFERROR(VLOOKUP(Costing[[#This Row],[BAS 2 Team]],Staff_Info[],4,0),"")</f>
        <v>30</v>
      </c>
      <c r="AV66" s="22">
        <f>IFERROR(VLOOKUP(Costing[[#This Row],[BAS 2 Frequency]],Frequency[],2,0),"")</f>
        <v>0.33333333333333331</v>
      </c>
      <c r="AW66" s="55">
        <f>IFERROR(Costing[[#This Row],[BAS 2 Hours/Month]]*Costing[[#This Row],[BAS 2 Rate]],0)</f>
        <v>2.5</v>
      </c>
      <c r="AX66" s="11" t="s">
        <v>181</v>
      </c>
      <c r="AY66" s="11" t="s">
        <v>117</v>
      </c>
      <c r="AZ66" s="11" t="s">
        <v>183</v>
      </c>
      <c r="BA66" s="11">
        <v>30</v>
      </c>
      <c r="BB66" s="22">
        <f>IFERROR(Costing[[#This Row],[Minutes/IAS]]*Costing[[#This Row],[IAS Factor]]/60,"")</f>
        <v>0.5</v>
      </c>
      <c r="BC66" s="23">
        <f>IFERROR(VLOOKUP(Costing[[#This Row],[IAS Team]],Staff_Info[],4,0),"")</f>
        <v>30</v>
      </c>
      <c r="BD66" s="22">
        <f>IFERROR(VLOOKUP(Costing[[#This Row],[IAS Frequency]],Frequency[],2,0),"")</f>
        <v>1</v>
      </c>
      <c r="BE66" s="56">
        <f>IFERROR(Costing[[#This Row],[IAS Hours/Month]]*Costing[[#This Row],[IAS Rate]],0)</f>
        <v>15</v>
      </c>
      <c r="BF66" s="11" t="s">
        <v>182</v>
      </c>
      <c r="BG66" s="11" t="s">
        <v>126</v>
      </c>
      <c r="BH66" s="11">
        <v>600</v>
      </c>
      <c r="BI66" s="23">
        <f>IFERROR(VLOOKUP(Costing[[#This Row],[EOFY Team 1]],Staff_Info[],4,0),"")</f>
        <v>50</v>
      </c>
      <c r="BJ66" s="57">
        <f>Costing[[#This Row],[Time Min 1]]/12</f>
        <v>50</v>
      </c>
      <c r="BK66" s="11" t="s">
        <v>117</v>
      </c>
      <c r="BL66" s="11">
        <v>60</v>
      </c>
      <c r="BM66" s="23">
        <f>IFERROR(VLOOKUP(Costing[[#This Row],[EOFY Team 2]],Staff_Info[],4,0),"")</f>
        <v>30</v>
      </c>
      <c r="BN66" s="57">
        <f>Costing[[#This Row],[Time Min 2]]/12</f>
        <v>5</v>
      </c>
      <c r="BO66" s="55">
        <f>IFERROR((Costing[[#This Row],[EOFY 1 Min/Month]]/60*Costing[[#This Row],[EOFY Team 1 Rate]])+(Costing[[#This Row],[EOFY 2 Min/Month]]/60*Costing[[#This Row],[EOFY Team 2 Rate]]),0)</f>
        <v>44.166666666666671</v>
      </c>
      <c r="BP66" s="11"/>
      <c r="BQ66" s="55">
        <f>IFERROR(VLOOKUP(Costing[[#This Row],[Software Name]],Software[],2,0),0)</f>
        <v>0</v>
      </c>
      <c r="BR66" s="59" t="s">
        <v>294</v>
      </c>
      <c r="BS66" s="11" t="s">
        <v>126</v>
      </c>
      <c r="BT66" s="60">
        <f>IF(Costing[[#This Row],[Minutes/Activity]]&gt;0,Costing[[#This Row],[Minutes/Activity]]*Costing[[#This Row],[Onboarding Factor]],"")</f>
        <v>595</v>
      </c>
      <c r="BU66" s="60">
        <f>IFERROR(Costing[[#This Row],[Onboarding Minutes]]/60,)</f>
        <v>9.9166666666666661</v>
      </c>
      <c r="BV66" s="60">
        <f t="shared" si="2"/>
        <v>79.92</v>
      </c>
      <c r="BW66" s="61">
        <f>IFERROR(VLOOKUP(Costing[[#This Row],[Onboarding Team]],Staff_Info[],4,0),"")</f>
        <v>50</v>
      </c>
      <c r="BX66" s="60">
        <f t="shared" si="3"/>
        <v>5.95</v>
      </c>
      <c r="BY66" s="55">
        <f>IFERROR(Costing[[#This Row],[Onboarding Hours]]/Costing[[#This Row],[Client Life Expectancy (Months)]]*Costing[[#This Row],[Onboarding Rate]],0)</f>
        <v>6.2041207874541202</v>
      </c>
      <c r="BZ66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627.87078745412077</v>
      </c>
      <c r="CA66" s="27">
        <v>1626.25</v>
      </c>
      <c r="CB66" s="63">
        <f>IFERROR((Costing[[#This Row],[Current Sales Price]]-Costing[[#This Row],[Total  Cost excl. Software]])/Costing[[#This Row],[Current Sales Price]],)</f>
        <v>0.6139149654394338</v>
      </c>
      <c r="CC66" s="64">
        <f>Costing[[#This Row],[Total  Cost excl. Software]]/(1-$CC$1)</f>
        <v>1793.9165355832024</v>
      </c>
    </row>
    <row r="67" spans="1:81" x14ac:dyDescent="0.2">
      <c r="A67" s="11" t="s">
        <v>70</v>
      </c>
      <c r="B67" s="48" t="s">
        <v>145</v>
      </c>
      <c r="C67" s="17" t="s">
        <v>117</v>
      </c>
      <c r="D67" s="17" t="s">
        <v>155</v>
      </c>
      <c r="E67" s="17">
        <v>25</v>
      </c>
      <c r="F67" s="21">
        <f>IFERROR(Costing[[#This Row],[Minutes/Pay Run]]*Costing[[#This Row],[Payroll Factor]]/60,"")</f>
        <v>0.90277777777777779</v>
      </c>
      <c r="G67" s="54">
        <f>IFERROR(VLOOKUP(Costing[[#This Row],[Payroll Team]],Staff_Info[],4,0),"")</f>
        <v>30</v>
      </c>
      <c r="H67" s="21">
        <f>IFERROR(VLOOKUP(Costing[[#This Row],[Payroll Frequency]],Frequency[],2,0),"")</f>
        <v>2.1666666666666665</v>
      </c>
      <c r="I67" s="55">
        <f>IFERROR(Costing[[#This Row],[Payroll Hours/Month]]*Costing[[#This Row],[Payroll Rate]],0)</f>
        <v>27.083333333333332</v>
      </c>
      <c r="J67" s="54" t="s">
        <v>176</v>
      </c>
      <c r="K67" s="11" t="s">
        <v>117</v>
      </c>
      <c r="L67" s="11" t="s">
        <v>157</v>
      </c>
      <c r="M67" s="11">
        <v>15</v>
      </c>
      <c r="N67" s="22">
        <f>IFERROR(Costing[[#This Row],[Minutes/Super]]*Costing[[#This Row],[Super Factor]]/60,"")</f>
        <v>8.3333333333333329E-2</v>
      </c>
      <c r="O67" s="23">
        <f>IFERROR(VLOOKUP(Costing[[#This Row],[Super Team]],Staff_Info[],4,0),"")</f>
        <v>30</v>
      </c>
      <c r="P67" s="22">
        <f>IFERROR(VLOOKUP(Costing[[#This Row],[Super Frequency]],Frequency[],2,0),"")</f>
        <v>0.33333333333333331</v>
      </c>
      <c r="Q67" s="55">
        <f>IFERROR(Costing[[#This Row],[Super Hours/Month]]*Costing[[#This Row],[Super Rate]],0)</f>
        <v>2.5</v>
      </c>
      <c r="R67" s="11" t="s">
        <v>177</v>
      </c>
      <c r="S67" s="11" t="s">
        <v>117</v>
      </c>
      <c r="T67" s="11" t="s">
        <v>183</v>
      </c>
      <c r="U67" s="11">
        <v>90</v>
      </c>
      <c r="V67" s="22">
        <f>IFERROR(Costing[[#This Row],[Minutes/Activity]]*Costing[[#This Row],[Bookkeeping Factor]]/60,"")</f>
        <v>1.5</v>
      </c>
      <c r="W67" s="23">
        <f>IFERROR(VLOOKUP(Costing[[#This Row],[Bookkeeping Team]],Staff_Info[],4,0),"")</f>
        <v>30</v>
      </c>
      <c r="X67" s="22">
        <f>IFERROR(VLOOKUP(Costing[[#This Row],[Bookkeeping Frequency]],Frequency[],2,0),"")</f>
        <v>1</v>
      </c>
      <c r="Y67" s="55">
        <f>IFERROR(Costing[[#This Row],[Bookkeeping Hours/Month]]*Costing[[#This Row],[Bookkeeping Rate]],0)</f>
        <v>45</v>
      </c>
      <c r="Z67" s="11" t="s">
        <v>178</v>
      </c>
      <c r="AA67" s="11" t="s">
        <v>126</v>
      </c>
      <c r="AB67" s="11" t="s">
        <v>183</v>
      </c>
      <c r="AC67" s="11">
        <v>150</v>
      </c>
      <c r="AD67" s="22">
        <f>IFERROR(Costing[[#This Row],[Minutes/Report]]*Costing[[#This Row],[Reporting Factor]]/60,"")</f>
        <v>2.5</v>
      </c>
      <c r="AE67" s="23">
        <f>IFERROR(VLOOKUP(Costing[[#This Row],[Reporting Team]],Staff_Info[],4,0),"")</f>
        <v>50</v>
      </c>
      <c r="AF67" s="22">
        <f>IFERROR(VLOOKUP(Costing[[#This Row],[Reporting Frequency]],Frequency[],2,0),"")</f>
        <v>1</v>
      </c>
      <c r="AG67" s="55">
        <f>IFERROR(Costing[[#This Row],[Reporting Hours/Month]]*Costing[[#This Row],[Reporting Rate]],0)</f>
        <v>125</v>
      </c>
      <c r="AH67" s="11" t="s">
        <v>179</v>
      </c>
      <c r="AI67" s="11" t="s">
        <v>117</v>
      </c>
      <c r="AJ67" s="11" t="s">
        <v>157</v>
      </c>
      <c r="AK67" s="11">
        <v>60</v>
      </c>
      <c r="AL67" s="22">
        <f>IFERROR(Costing[[#This Row],[Minutes/BAS 1]]*Costing[[#This Row],[BAS 1 Factor]]/60,"")</f>
        <v>0.33333333333333331</v>
      </c>
      <c r="AM67" s="23">
        <f>IFERROR(VLOOKUP(Costing[[#This Row],[BAS 1 Team]],Staff_Info[],4,0),"")</f>
        <v>30</v>
      </c>
      <c r="AN67" s="22">
        <f>IFERROR(VLOOKUP(Costing[[#This Row],[BAS 1 Frequency]],Frequency[],2,0),"")</f>
        <v>0.33333333333333331</v>
      </c>
      <c r="AO67" s="55">
        <f>IFERROR(Costing[[#This Row],[BAS 1 Hours/Month]]*Costing[[#This Row],[BAS 1 Rate]],0)</f>
        <v>10</v>
      </c>
      <c r="AP67" s="11" t="s">
        <v>180</v>
      </c>
      <c r="AQ67" s="11" t="s">
        <v>117</v>
      </c>
      <c r="AR67" s="11" t="s">
        <v>157</v>
      </c>
      <c r="AS67" s="11">
        <v>15</v>
      </c>
      <c r="AT67" s="22">
        <f>IFERROR(Costing[[#This Row],[Minutes/BAS 2]]*Costing[[#This Row],[BAS 2 Factor]]/60,"")</f>
        <v>8.3333333333333329E-2</v>
      </c>
      <c r="AU67" s="23">
        <f>IFERROR(VLOOKUP(Costing[[#This Row],[BAS 2 Team]],Staff_Info[],4,0),"")</f>
        <v>30</v>
      </c>
      <c r="AV67" s="22">
        <f>IFERROR(VLOOKUP(Costing[[#This Row],[BAS 2 Frequency]],Frequency[],2,0),"")</f>
        <v>0.33333333333333331</v>
      </c>
      <c r="AW67" s="55">
        <f>IFERROR(Costing[[#This Row],[BAS 2 Hours/Month]]*Costing[[#This Row],[BAS 2 Rate]],0)</f>
        <v>2.5</v>
      </c>
      <c r="AX67" s="11" t="s">
        <v>181</v>
      </c>
      <c r="AY67" s="11" t="s">
        <v>117</v>
      </c>
      <c r="AZ67" s="11" t="s">
        <v>183</v>
      </c>
      <c r="BA67" s="11">
        <v>30</v>
      </c>
      <c r="BB67" s="22">
        <f>IFERROR(Costing[[#This Row],[Minutes/IAS]]*Costing[[#This Row],[IAS Factor]]/60,"")</f>
        <v>0.5</v>
      </c>
      <c r="BC67" s="23">
        <f>IFERROR(VLOOKUP(Costing[[#This Row],[IAS Team]],Staff_Info[],4,0),"")</f>
        <v>30</v>
      </c>
      <c r="BD67" s="22">
        <f>IFERROR(VLOOKUP(Costing[[#This Row],[IAS Frequency]],Frequency[],2,0),"")</f>
        <v>1</v>
      </c>
      <c r="BE67" s="56">
        <f>IFERROR(Costing[[#This Row],[IAS Hours/Month]]*Costing[[#This Row],[IAS Rate]],0)</f>
        <v>15</v>
      </c>
      <c r="BF67" s="11" t="s">
        <v>182</v>
      </c>
      <c r="BG67" s="11" t="s">
        <v>126</v>
      </c>
      <c r="BH67" s="11">
        <v>120</v>
      </c>
      <c r="BI67" s="23">
        <f>IFERROR(VLOOKUP(Costing[[#This Row],[EOFY Team 1]],Staff_Info[],4,0),"")</f>
        <v>50</v>
      </c>
      <c r="BJ67" s="57">
        <f>Costing[[#This Row],[Time Min 1]]/12</f>
        <v>10</v>
      </c>
      <c r="BK67" s="11" t="s">
        <v>117</v>
      </c>
      <c r="BL67" s="11">
        <v>120</v>
      </c>
      <c r="BM67" s="23">
        <f>IFERROR(VLOOKUP(Costing[[#This Row],[EOFY Team 2]],Staff_Info[],4,0),"")</f>
        <v>30</v>
      </c>
      <c r="BN67" s="57">
        <f>Costing[[#This Row],[Time Min 2]]/12</f>
        <v>10</v>
      </c>
      <c r="BO67" s="55">
        <f>IFERROR((Costing[[#This Row],[EOFY 1 Min/Month]]/60*Costing[[#This Row],[EOFY Team 1 Rate]])+(Costing[[#This Row],[EOFY 2 Min/Month]]/60*Costing[[#This Row],[EOFY Team 2 Rate]]),0)</f>
        <v>13.333333333333332</v>
      </c>
      <c r="BP67" s="11" t="s">
        <v>165</v>
      </c>
      <c r="BQ67" s="55">
        <f>IFERROR(VLOOKUP(Costing[[#This Row],[Software Name]],Software[],2,0),0)</f>
        <v>54.4</v>
      </c>
      <c r="BR67" s="59" t="s">
        <v>294</v>
      </c>
      <c r="BS67" s="11" t="s">
        <v>126</v>
      </c>
      <c r="BT67" s="60">
        <f>IF(Costing[[#This Row],[Minutes/Activity]]&gt;0,Costing[[#This Row],[Minutes/Activity]]*Costing[[#This Row],[Onboarding Factor]],"")</f>
        <v>535.5</v>
      </c>
      <c r="BU67" s="60">
        <f>IFERROR(Costing[[#This Row],[Onboarding Minutes]]/60,)</f>
        <v>8.9250000000000007</v>
      </c>
      <c r="BV67" s="60">
        <f t="shared" ref="BV67:BV84" si="4">6.66*12</f>
        <v>79.92</v>
      </c>
      <c r="BW67" s="61">
        <f>IFERROR(VLOOKUP(Costing[[#This Row],[Onboarding Team]],Staff_Info[],4,0),"")</f>
        <v>50</v>
      </c>
      <c r="BX67" s="60">
        <f t="shared" ref="BX67:BX84" si="5">$BX$1</f>
        <v>5.95</v>
      </c>
      <c r="BY67" s="55">
        <f>IFERROR(Costing[[#This Row],[Onboarding Hours]]/Costing[[#This Row],[Client Life Expectancy (Months)]]*Costing[[#This Row],[Onboarding Rate]],0)</f>
        <v>5.5837087087087092</v>
      </c>
      <c r="BZ67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246.00037537537537</v>
      </c>
      <c r="CA67" s="27">
        <v>0</v>
      </c>
      <c r="CB67" s="63">
        <f>IFERROR((Costing[[#This Row],[Current Sales Price]]-Costing[[#This Row],[Total  Cost excl. Software]])/Costing[[#This Row],[Current Sales Price]],)</f>
        <v>0</v>
      </c>
      <c r="CC67" s="64">
        <f>Costing[[#This Row],[Total  Cost excl. Software]]/(1-$CC$1)</f>
        <v>702.85821535821538</v>
      </c>
    </row>
    <row r="68" spans="1:81" x14ac:dyDescent="0.2">
      <c r="A68" s="11" t="s">
        <v>71</v>
      </c>
      <c r="B68" s="48" t="s">
        <v>145</v>
      </c>
      <c r="C68" s="17" t="s">
        <v>117</v>
      </c>
      <c r="D68" s="17" t="s">
        <v>155</v>
      </c>
      <c r="E68" s="17">
        <v>35</v>
      </c>
      <c r="F68" s="21">
        <f>IFERROR(Costing[[#This Row],[Minutes/Pay Run]]*Costing[[#This Row],[Payroll Factor]]/60,"")</f>
        <v>1.2638888888888888</v>
      </c>
      <c r="G68" s="54">
        <f>IFERROR(VLOOKUP(Costing[[#This Row],[Payroll Team]],Staff_Info[],4,0),"")</f>
        <v>30</v>
      </c>
      <c r="H68" s="21">
        <f>IFERROR(VLOOKUP(Costing[[#This Row],[Payroll Frequency]],Frequency[],2,0),"")</f>
        <v>2.1666666666666665</v>
      </c>
      <c r="I68" s="55">
        <f>IFERROR(Costing[[#This Row],[Payroll Hours/Month]]*Costing[[#This Row],[Payroll Rate]],0)</f>
        <v>37.916666666666664</v>
      </c>
      <c r="J68" s="54" t="s">
        <v>176</v>
      </c>
      <c r="K68" s="11" t="s">
        <v>117</v>
      </c>
      <c r="L68" s="11" t="s">
        <v>157</v>
      </c>
      <c r="M68" s="11">
        <v>15</v>
      </c>
      <c r="N68" s="22">
        <f>IFERROR(Costing[[#This Row],[Minutes/Super]]*Costing[[#This Row],[Super Factor]]/60,"")</f>
        <v>8.3333333333333329E-2</v>
      </c>
      <c r="O68" s="23">
        <f>IFERROR(VLOOKUP(Costing[[#This Row],[Super Team]],Staff_Info[],4,0),"")</f>
        <v>30</v>
      </c>
      <c r="P68" s="22">
        <f>IFERROR(VLOOKUP(Costing[[#This Row],[Super Frequency]],Frequency[],2,0),"")</f>
        <v>0.33333333333333331</v>
      </c>
      <c r="Q68" s="55">
        <f>IFERROR(Costing[[#This Row],[Super Hours/Month]]*Costing[[#This Row],[Super Rate]],0)</f>
        <v>2.5</v>
      </c>
      <c r="R68" s="11" t="s">
        <v>177</v>
      </c>
      <c r="S68" s="11" t="s">
        <v>117</v>
      </c>
      <c r="T68" s="11" t="s">
        <v>183</v>
      </c>
      <c r="U68" s="11">
        <v>300</v>
      </c>
      <c r="V68" s="22">
        <f>IFERROR(Costing[[#This Row],[Minutes/Activity]]*Costing[[#This Row],[Bookkeeping Factor]]/60,"")</f>
        <v>5</v>
      </c>
      <c r="W68" s="23">
        <f>IFERROR(VLOOKUP(Costing[[#This Row],[Bookkeeping Team]],Staff_Info[],4,0),"")</f>
        <v>30</v>
      </c>
      <c r="X68" s="22">
        <f>IFERROR(VLOOKUP(Costing[[#This Row],[Bookkeeping Frequency]],Frequency[],2,0),"")</f>
        <v>1</v>
      </c>
      <c r="Y68" s="55">
        <f>IFERROR(Costing[[#This Row],[Bookkeeping Hours/Month]]*Costing[[#This Row],[Bookkeeping Rate]],0)</f>
        <v>150</v>
      </c>
      <c r="Z68" s="11" t="s">
        <v>178</v>
      </c>
      <c r="AA68" s="11" t="s">
        <v>126</v>
      </c>
      <c r="AB68" s="11" t="s">
        <v>183</v>
      </c>
      <c r="AC68" s="11">
        <v>150</v>
      </c>
      <c r="AD68" s="22">
        <f>IFERROR(Costing[[#This Row],[Minutes/Report]]*Costing[[#This Row],[Reporting Factor]]/60,"")</f>
        <v>2.5</v>
      </c>
      <c r="AE68" s="23">
        <f>IFERROR(VLOOKUP(Costing[[#This Row],[Reporting Team]],Staff_Info[],4,0),"")</f>
        <v>50</v>
      </c>
      <c r="AF68" s="22">
        <f>IFERROR(VLOOKUP(Costing[[#This Row],[Reporting Frequency]],Frequency[],2,0),"")</f>
        <v>1</v>
      </c>
      <c r="AG68" s="55">
        <f>IFERROR(Costing[[#This Row],[Reporting Hours/Month]]*Costing[[#This Row],[Reporting Rate]],0)</f>
        <v>125</v>
      </c>
      <c r="AH68" s="11" t="s">
        <v>179</v>
      </c>
      <c r="AI68" s="11" t="s">
        <v>117</v>
      </c>
      <c r="AJ68" s="11" t="s">
        <v>157</v>
      </c>
      <c r="AK68" s="11">
        <v>60</v>
      </c>
      <c r="AL68" s="22">
        <f>IFERROR(Costing[[#This Row],[Minutes/BAS 1]]*Costing[[#This Row],[BAS 1 Factor]]/60,"")</f>
        <v>0.33333333333333331</v>
      </c>
      <c r="AM68" s="23">
        <f>IFERROR(VLOOKUP(Costing[[#This Row],[BAS 1 Team]],Staff_Info[],4,0),"")</f>
        <v>30</v>
      </c>
      <c r="AN68" s="22">
        <f>IFERROR(VLOOKUP(Costing[[#This Row],[BAS 1 Frequency]],Frequency[],2,0),"")</f>
        <v>0.33333333333333331</v>
      </c>
      <c r="AO68" s="55">
        <f>IFERROR(Costing[[#This Row],[BAS 1 Hours/Month]]*Costing[[#This Row],[BAS 1 Rate]],0)</f>
        <v>10</v>
      </c>
      <c r="AP68" s="11" t="s">
        <v>180</v>
      </c>
      <c r="AQ68" s="11" t="s">
        <v>117</v>
      </c>
      <c r="AR68" s="11" t="s">
        <v>157</v>
      </c>
      <c r="AS68" s="11">
        <v>15</v>
      </c>
      <c r="AT68" s="22">
        <f>IFERROR(Costing[[#This Row],[Minutes/BAS 2]]*Costing[[#This Row],[BAS 2 Factor]]/60,"")</f>
        <v>8.3333333333333329E-2</v>
      </c>
      <c r="AU68" s="23">
        <f>IFERROR(VLOOKUP(Costing[[#This Row],[BAS 2 Team]],Staff_Info[],4,0),"")</f>
        <v>30</v>
      </c>
      <c r="AV68" s="22">
        <f>IFERROR(VLOOKUP(Costing[[#This Row],[BAS 2 Frequency]],Frequency[],2,0),"")</f>
        <v>0.33333333333333331</v>
      </c>
      <c r="AW68" s="55">
        <f>IFERROR(Costing[[#This Row],[BAS 2 Hours/Month]]*Costing[[#This Row],[BAS 2 Rate]],0)</f>
        <v>2.5</v>
      </c>
      <c r="AX68" s="11" t="s">
        <v>181</v>
      </c>
      <c r="AY68" s="11" t="s">
        <v>117</v>
      </c>
      <c r="AZ68" s="11" t="s">
        <v>183</v>
      </c>
      <c r="BA68" s="11">
        <v>30</v>
      </c>
      <c r="BB68" s="22">
        <f>IFERROR(Costing[[#This Row],[Minutes/IAS]]*Costing[[#This Row],[IAS Factor]]/60,"")</f>
        <v>0.5</v>
      </c>
      <c r="BC68" s="23">
        <f>IFERROR(VLOOKUP(Costing[[#This Row],[IAS Team]],Staff_Info[],4,0),"")</f>
        <v>30</v>
      </c>
      <c r="BD68" s="22">
        <f>IFERROR(VLOOKUP(Costing[[#This Row],[IAS Frequency]],Frequency[],2,0),"")</f>
        <v>1</v>
      </c>
      <c r="BE68" s="56">
        <f>IFERROR(Costing[[#This Row],[IAS Hours/Month]]*Costing[[#This Row],[IAS Rate]],0)</f>
        <v>15</v>
      </c>
      <c r="BF68" s="11" t="s">
        <v>182</v>
      </c>
      <c r="BG68" s="11" t="s">
        <v>126</v>
      </c>
      <c r="BH68" s="11">
        <v>120</v>
      </c>
      <c r="BI68" s="23">
        <f>IFERROR(VLOOKUP(Costing[[#This Row],[EOFY Team 1]],Staff_Info[],4,0),"")</f>
        <v>50</v>
      </c>
      <c r="BJ68" s="57">
        <f>Costing[[#This Row],[Time Min 1]]/12</f>
        <v>10</v>
      </c>
      <c r="BK68" s="11" t="s">
        <v>117</v>
      </c>
      <c r="BL68" s="11">
        <v>120</v>
      </c>
      <c r="BM68" s="23">
        <f>IFERROR(VLOOKUP(Costing[[#This Row],[EOFY Team 2]],Staff_Info[],4,0),"")</f>
        <v>30</v>
      </c>
      <c r="BN68" s="57">
        <f>Costing[[#This Row],[Time Min 2]]/12</f>
        <v>10</v>
      </c>
      <c r="BO68" s="55">
        <f>IFERROR((Costing[[#This Row],[EOFY 1 Min/Month]]/60*Costing[[#This Row],[EOFY Team 1 Rate]])+(Costing[[#This Row],[EOFY 2 Min/Month]]/60*Costing[[#This Row],[EOFY Team 2 Rate]]),0)</f>
        <v>13.333333333333332</v>
      </c>
      <c r="BP68" s="11" t="s">
        <v>165</v>
      </c>
      <c r="BQ68" s="55">
        <f>IFERROR(VLOOKUP(Costing[[#This Row],[Software Name]],Software[],2,0),0)</f>
        <v>54.4</v>
      </c>
      <c r="BR68" s="59" t="s">
        <v>294</v>
      </c>
      <c r="BS68" s="11" t="s">
        <v>126</v>
      </c>
      <c r="BT68" s="60">
        <f>IF(Costing[[#This Row],[Minutes/Activity]]&gt;0,Costing[[#This Row],[Minutes/Activity]]*Costing[[#This Row],[Onboarding Factor]],"")</f>
        <v>1785</v>
      </c>
      <c r="BU68" s="60">
        <f>IFERROR(Costing[[#This Row],[Onboarding Minutes]]/60,)</f>
        <v>29.75</v>
      </c>
      <c r="BV68" s="60">
        <f t="shared" si="4"/>
        <v>79.92</v>
      </c>
      <c r="BW68" s="61">
        <f>IFERROR(VLOOKUP(Costing[[#This Row],[Onboarding Team]],Staff_Info[],4,0),"")</f>
        <v>50</v>
      </c>
      <c r="BX68" s="60">
        <f t="shared" si="5"/>
        <v>5.95</v>
      </c>
      <c r="BY68" s="55">
        <f>IFERROR(Costing[[#This Row],[Onboarding Hours]]/Costing[[#This Row],[Client Life Expectancy (Months)]]*Costing[[#This Row],[Onboarding Rate]],0)</f>
        <v>18.612362362362362</v>
      </c>
      <c r="BZ68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374.86236236236232</v>
      </c>
      <c r="CA68" s="27">
        <v>1985</v>
      </c>
      <c r="CB68" s="63">
        <f>IFERROR((Costing[[#This Row],[Current Sales Price]]-Costing[[#This Row],[Total  Cost excl. Software]])/Costing[[#This Row],[Current Sales Price]],)</f>
        <v>0.8111524622859636</v>
      </c>
      <c r="CC68" s="64">
        <f>Costing[[#This Row],[Total  Cost excl. Software]]/(1-$CC$1)</f>
        <v>1071.035321035321</v>
      </c>
    </row>
    <row r="69" spans="1:81" x14ac:dyDescent="0.2">
      <c r="A69" s="11" t="s">
        <v>72</v>
      </c>
      <c r="B69" s="48"/>
      <c r="C69" s="17"/>
      <c r="D69" s="17"/>
      <c r="E69" s="17"/>
      <c r="F69" s="21" t="str">
        <f>IFERROR(Costing[[#This Row],[Minutes/Pay Run]]*Costing[[#This Row],[Payroll Factor]]/60,"")</f>
        <v/>
      </c>
      <c r="G69" s="54" t="str">
        <f>IFERROR(VLOOKUP(Costing[[#This Row],[Payroll Team]],Staff_Info[],4,0),"")</f>
        <v/>
      </c>
      <c r="H69" s="21" t="str">
        <f>IFERROR(VLOOKUP(Costing[[#This Row],[Payroll Frequency]],Frequency[],2,0),"")</f>
        <v/>
      </c>
      <c r="I69" s="55">
        <f>IFERROR(Costing[[#This Row],[Payroll Hours/Month]]*Costing[[#This Row],[Payroll Rate]],0)</f>
        <v>0</v>
      </c>
      <c r="J69" s="54"/>
      <c r="K69" s="11"/>
      <c r="L69" s="11"/>
      <c r="M69" s="11"/>
      <c r="N69" s="22" t="str">
        <f>IFERROR(Costing[[#This Row],[Minutes/Super]]*Costing[[#This Row],[Super Factor]]/60,"")</f>
        <v/>
      </c>
      <c r="O69" s="23" t="str">
        <f>IFERROR(VLOOKUP(Costing[[#This Row],[Super Team]],Staff_Info[],4,0),"")</f>
        <v/>
      </c>
      <c r="P69" s="22" t="str">
        <f>IFERROR(VLOOKUP(Costing[[#This Row],[Super Frequency]],Frequency[],2,0),"")</f>
        <v/>
      </c>
      <c r="Q69" s="55">
        <f>IFERROR(Costing[[#This Row],[Super Hours/Month]]*Costing[[#This Row],[Super Rate]],0)</f>
        <v>0</v>
      </c>
      <c r="R69" s="11" t="s">
        <v>177</v>
      </c>
      <c r="S69" s="11" t="s">
        <v>117</v>
      </c>
      <c r="T69" s="11" t="s">
        <v>183</v>
      </c>
      <c r="U69" s="11">
        <v>30</v>
      </c>
      <c r="V69" s="22">
        <f>IFERROR(Costing[[#This Row],[Minutes/Activity]]*Costing[[#This Row],[Bookkeeping Factor]]/60,"")</f>
        <v>0.5</v>
      </c>
      <c r="W69" s="23">
        <f>IFERROR(VLOOKUP(Costing[[#This Row],[Bookkeeping Team]],Staff_Info[],4,0),"")</f>
        <v>30</v>
      </c>
      <c r="X69" s="22">
        <f>IFERROR(VLOOKUP(Costing[[#This Row],[Bookkeeping Frequency]],Frequency[],2,0),"")</f>
        <v>1</v>
      </c>
      <c r="Y69" s="55">
        <f>IFERROR(Costing[[#This Row],[Bookkeeping Hours/Month]]*Costing[[#This Row],[Bookkeeping Rate]],0)</f>
        <v>15</v>
      </c>
      <c r="Z69" s="11"/>
      <c r="AA69" s="11"/>
      <c r="AB69" s="11"/>
      <c r="AC69" s="11"/>
      <c r="AD69" s="22" t="str">
        <f>IFERROR(Costing[[#This Row],[Minutes/Report]]*Costing[[#This Row],[Reporting Factor]]/60,"")</f>
        <v/>
      </c>
      <c r="AE69" s="23" t="str">
        <f>IFERROR(VLOOKUP(Costing[[#This Row],[Reporting Team]],Staff_Info[],4,0),"")</f>
        <v/>
      </c>
      <c r="AF69" s="22" t="str">
        <f>IFERROR(VLOOKUP(Costing[[#This Row],[Reporting Frequency]],Frequency[],2,0),"")</f>
        <v/>
      </c>
      <c r="AG69" s="55">
        <f>IFERROR(Costing[[#This Row],[Reporting Hours/Month]]*Costing[[#This Row],[Reporting Rate]],0)</f>
        <v>0</v>
      </c>
      <c r="AH69" s="11" t="s">
        <v>179</v>
      </c>
      <c r="AI69" s="11" t="s">
        <v>117</v>
      </c>
      <c r="AJ69" s="11" t="s">
        <v>157</v>
      </c>
      <c r="AK69" s="11">
        <v>60</v>
      </c>
      <c r="AL69" s="22">
        <f>IFERROR(Costing[[#This Row],[Minutes/BAS 1]]*Costing[[#This Row],[BAS 1 Factor]]/60,"")</f>
        <v>0.33333333333333331</v>
      </c>
      <c r="AM69" s="23">
        <f>IFERROR(VLOOKUP(Costing[[#This Row],[BAS 1 Team]],Staff_Info[],4,0),"")</f>
        <v>30</v>
      </c>
      <c r="AN69" s="22">
        <f>IFERROR(VLOOKUP(Costing[[#This Row],[BAS 1 Frequency]],Frequency[],2,0),"")</f>
        <v>0.33333333333333331</v>
      </c>
      <c r="AO69" s="55">
        <f>IFERROR(Costing[[#This Row],[BAS 1 Hours/Month]]*Costing[[#This Row],[BAS 1 Rate]],0)</f>
        <v>10</v>
      </c>
      <c r="AP69" s="11" t="s">
        <v>180</v>
      </c>
      <c r="AQ69" s="11" t="s">
        <v>117</v>
      </c>
      <c r="AR69" s="11" t="s">
        <v>157</v>
      </c>
      <c r="AS69" s="11">
        <v>15</v>
      </c>
      <c r="AT69" s="22">
        <f>IFERROR(Costing[[#This Row],[Minutes/BAS 2]]*Costing[[#This Row],[BAS 2 Factor]]/60,"")</f>
        <v>8.3333333333333329E-2</v>
      </c>
      <c r="AU69" s="23">
        <f>IFERROR(VLOOKUP(Costing[[#This Row],[BAS 2 Team]],Staff_Info[],4,0),"")</f>
        <v>30</v>
      </c>
      <c r="AV69" s="22">
        <f>IFERROR(VLOOKUP(Costing[[#This Row],[BAS 2 Frequency]],Frequency[],2,0),"")</f>
        <v>0.33333333333333331</v>
      </c>
      <c r="AW69" s="55">
        <f>IFERROR(Costing[[#This Row],[BAS 2 Hours/Month]]*Costing[[#This Row],[BAS 2 Rate]],0)</f>
        <v>2.5</v>
      </c>
      <c r="AX69" s="11"/>
      <c r="AY69" s="11"/>
      <c r="AZ69" s="11"/>
      <c r="BA69" s="11"/>
      <c r="BB69" s="22" t="str">
        <f>IFERROR(Costing[[#This Row],[Minutes/IAS]]*Costing[[#This Row],[IAS Factor]]/60,"")</f>
        <v/>
      </c>
      <c r="BC69" s="23" t="str">
        <f>IFERROR(VLOOKUP(Costing[[#This Row],[IAS Team]],Staff_Info[],4,0),"")</f>
        <v/>
      </c>
      <c r="BD69" s="22" t="str">
        <f>IFERROR(VLOOKUP(Costing[[#This Row],[IAS Frequency]],Frequency[],2,0),"")</f>
        <v/>
      </c>
      <c r="BE69" s="56">
        <f>IFERROR(Costing[[#This Row],[IAS Hours/Month]]*Costing[[#This Row],[IAS Rate]],0)</f>
        <v>0</v>
      </c>
      <c r="BF69" s="11" t="s">
        <v>182</v>
      </c>
      <c r="BG69" s="11" t="s">
        <v>126</v>
      </c>
      <c r="BH69" s="11">
        <v>60</v>
      </c>
      <c r="BI69" s="23">
        <f>IFERROR(VLOOKUP(Costing[[#This Row],[EOFY Team 1]],Staff_Info[],4,0),"")</f>
        <v>50</v>
      </c>
      <c r="BJ69" s="57">
        <f>Costing[[#This Row],[Time Min 1]]/12</f>
        <v>5</v>
      </c>
      <c r="BK69" s="11"/>
      <c r="BL69" s="11"/>
      <c r="BM69" s="23" t="str">
        <f>IFERROR(VLOOKUP(Costing[[#This Row],[EOFY Team 2]],Staff_Info[],4,0),"")</f>
        <v/>
      </c>
      <c r="BN69" s="57">
        <f>Costing[[#This Row],[Time Min 2]]/12</f>
        <v>0</v>
      </c>
      <c r="BO69" s="55">
        <f>IFERROR((Costing[[#This Row],[EOFY 1 Min/Month]]/60*Costing[[#This Row],[EOFY Team 1 Rate]])+(Costing[[#This Row],[EOFY 2 Min/Month]]/60*Costing[[#This Row],[EOFY Team 2 Rate]]),0)</f>
        <v>0</v>
      </c>
      <c r="BP69" s="11" t="s">
        <v>162</v>
      </c>
      <c r="BQ69" s="55">
        <f>IFERROR(VLOOKUP(Costing[[#This Row],[Software Name]],Software[],2,0),0)</f>
        <v>18.18</v>
      </c>
      <c r="BR69" s="59" t="s">
        <v>294</v>
      </c>
      <c r="BS69" s="11" t="s">
        <v>126</v>
      </c>
      <c r="BT69" s="60">
        <f>IF(Costing[[#This Row],[Minutes/Activity]]&gt;0,Costing[[#This Row],[Minutes/Activity]]*Costing[[#This Row],[Onboarding Factor]],"")</f>
        <v>178.5</v>
      </c>
      <c r="BU69" s="60">
        <f>IFERROR(Costing[[#This Row],[Onboarding Minutes]]/60,)</f>
        <v>2.9750000000000001</v>
      </c>
      <c r="BV69" s="60">
        <f t="shared" si="4"/>
        <v>79.92</v>
      </c>
      <c r="BW69" s="61">
        <f>IFERROR(VLOOKUP(Costing[[#This Row],[Onboarding Team]],Staff_Info[],4,0),"")</f>
        <v>50</v>
      </c>
      <c r="BX69" s="60">
        <f t="shared" si="5"/>
        <v>5.95</v>
      </c>
      <c r="BY69" s="55">
        <f>IFERROR(Costing[[#This Row],[Onboarding Hours]]/Costing[[#This Row],[Client Life Expectancy (Months)]]*Costing[[#This Row],[Onboarding Rate]],0)</f>
        <v>1.8612362362362362</v>
      </c>
      <c r="BZ69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29.361236236236238</v>
      </c>
      <c r="CA69" s="27">
        <v>0</v>
      </c>
      <c r="CB69" s="63">
        <f>IFERROR((Costing[[#This Row],[Current Sales Price]]-Costing[[#This Row],[Total  Cost excl. Software]])/Costing[[#This Row],[Current Sales Price]],)</f>
        <v>0</v>
      </c>
      <c r="CC69" s="64">
        <f>Costing[[#This Row],[Total  Cost excl. Software]]/(1-$CC$1)</f>
        <v>83.889246389246395</v>
      </c>
    </row>
    <row r="70" spans="1:81" x14ac:dyDescent="0.2">
      <c r="A70" s="11" t="s">
        <v>73</v>
      </c>
      <c r="B70" s="48" t="s">
        <v>145</v>
      </c>
      <c r="C70" s="17" t="s">
        <v>116</v>
      </c>
      <c r="D70" s="17" t="s">
        <v>154</v>
      </c>
      <c r="E70" s="17">
        <v>15</v>
      </c>
      <c r="F70" s="21">
        <f>IFERROR(Costing[[#This Row],[Minutes/Pay Run]]*Costing[[#This Row],[Payroll Factor]]/60,"")</f>
        <v>1.0833333333333333</v>
      </c>
      <c r="G70" s="54">
        <f>IFERROR(VLOOKUP(Costing[[#This Row],[Payroll Team]],Staff_Info[],4,0),"")</f>
        <v>10</v>
      </c>
      <c r="H70" s="21">
        <f>IFERROR(VLOOKUP(Costing[[#This Row],[Payroll Frequency]],Frequency[],2,0),"")</f>
        <v>4.333333333333333</v>
      </c>
      <c r="I70" s="55">
        <f>IFERROR(Costing[[#This Row],[Payroll Hours/Month]]*Costing[[#This Row],[Payroll Rate]],0)</f>
        <v>10.833333333333332</v>
      </c>
      <c r="J70" s="54" t="s">
        <v>176</v>
      </c>
      <c r="K70" s="11" t="s">
        <v>116</v>
      </c>
      <c r="L70" s="11" t="s">
        <v>157</v>
      </c>
      <c r="M70" s="11">
        <v>15</v>
      </c>
      <c r="N70" s="22">
        <f>IFERROR(Costing[[#This Row],[Minutes/Super]]*Costing[[#This Row],[Super Factor]]/60,"")</f>
        <v>8.3333333333333329E-2</v>
      </c>
      <c r="O70" s="23">
        <f>IFERROR(VLOOKUP(Costing[[#This Row],[Super Team]],Staff_Info[],4,0),"")</f>
        <v>10</v>
      </c>
      <c r="P70" s="22">
        <f>IFERROR(VLOOKUP(Costing[[#This Row],[Super Frequency]],Frequency[],2,0),"")</f>
        <v>0.33333333333333331</v>
      </c>
      <c r="Q70" s="55">
        <f>IFERROR(Costing[[#This Row],[Super Hours/Month]]*Costing[[#This Row],[Super Rate]],0)</f>
        <v>0.83333333333333326</v>
      </c>
      <c r="R70" s="11" t="s">
        <v>177</v>
      </c>
      <c r="S70" s="11" t="s">
        <v>116</v>
      </c>
      <c r="T70" s="11" t="s">
        <v>183</v>
      </c>
      <c r="U70" s="11">
        <v>200</v>
      </c>
      <c r="V70" s="22">
        <f>IFERROR(Costing[[#This Row],[Minutes/Activity]]*Costing[[#This Row],[Bookkeeping Factor]]/60,"")</f>
        <v>3.3333333333333335</v>
      </c>
      <c r="W70" s="23">
        <f>IFERROR(VLOOKUP(Costing[[#This Row],[Bookkeeping Team]],Staff_Info[],4,0),"")</f>
        <v>10</v>
      </c>
      <c r="X70" s="22">
        <f>IFERROR(VLOOKUP(Costing[[#This Row],[Bookkeeping Frequency]],Frequency[],2,0),"")</f>
        <v>1</v>
      </c>
      <c r="Y70" s="55">
        <f>IFERROR(Costing[[#This Row],[Bookkeeping Hours/Month]]*Costing[[#This Row],[Bookkeeping Rate]],0)</f>
        <v>33.333333333333336</v>
      </c>
      <c r="Z70" s="11" t="s">
        <v>178</v>
      </c>
      <c r="AA70" s="11" t="s">
        <v>126</v>
      </c>
      <c r="AB70" s="11" t="s">
        <v>183</v>
      </c>
      <c r="AC70" s="11">
        <v>20</v>
      </c>
      <c r="AD70" s="22">
        <f>IFERROR(Costing[[#This Row],[Minutes/Report]]*Costing[[#This Row],[Reporting Factor]]/60,"")</f>
        <v>0.33333333333333331</v>
      </c>
      <c r="AE70" s="23">
        <f>IFERROR(VLOOKUP(Costing[[#This Row],[Reporting Team]],Staff_Info[],4,0),"")</f>
        <v>50</v>
      </c>
      <c r="AF70" s="22">
        <f>IFERROR(VLOOKUP(Costing[[#This Row],[Reporting Frequency]],Frequency[],2,0),"")</f>
        <v>1</v>
      </c>
      <c r="AG70" s="55">
        <f>IFERROR(Costing[[#This Row],[Reporting Hours/Month]]*Costing[[#This Row],[Reporting Rate]],0)</f>
        <v>16.666666666666664</v>
      </c>
      <c r="AH70" s="11" t="s">
        <v>179</v>
      </c>
      <c r="AI70" s="11" t="s">
        <v>116</v>
      </c>
      <c r="AJ70" s="11" t="s">
        <v>157</v>
      </c>
      <c r="AK70" s="11">
        <v>60</v>
      </c>
      <c r="AL70" s="22">
        <f>IFERROR(Costing[[#This Row],[Minutes/BAS 1]]*Costing[[#This Row],[BAS 1 Factor]]/60,"")</f>
        <v>0.33333333333333331</v>
      </c>
      <c r="AM70" s="23">
        <f>IFERROR(VLOOKUP(Costing[[#This Row],[BAS 1 Team]],Staff_Info[],4,0),"")</f>
        <v>10</v>
      </c>
      <c r="AN70" s="22">
        <f>IFERROR(VLOOKUP(Costing[[#This Row],[BAS 1 Frequency]],Frequency[],2,0),"")</f>
        <v>0.33333333333333331</v>
      </c>
      <c r="AO70" s="55">
        <f>IFERROR(Costing[[#This Row],[BAS 1 Hours/Month]]*Costing[[#This Row],[BAS 1 Rate]],0)</f>
        <v>3.333333333333333</v>
      </c>
      <c r="AP70" s="11" t="s">
        <v>180</v>
      </c>
      <c r="AQ70" s="11" t="s">
        <v>117</v>
      </c>
      <c r="AR70" s="11" t="s">
        <v>157</v>
      </c>
      <c r="AS70" s="11">
        <v>15</v>
      </c>
      <c r="AT70" s="22">
        <f>IFERROR(Costing[[#This Row],[Minutes/BAS 2]]*Costing[[#This Row],[BAS 2 Factor]]/60,"")</f>
        <v>8.3333333333333329E-2</v>
      </c>
      <c r="AU70" s="23">
        <f>IFERROR(VLOOKUP(Costing[[#This Row],[BAS 2 Team]],Staff_Info[],4,0),"")</f>
        <v>30</v>
      </c>
      <c r="AV70" s="22">
        <f>IFERROR(VLOOKUP(Costing[[#This Row],[BAS 2 Frequency]],Frequency[],2,0),"")</f>
        <v>0.33333333333333331</v>
      </c>
      <c r="AW70" s="55">
        <f>IFERROR(Costing[[#This Row],[BAS 2 Hours/Month]]*Costing[[#This Row],[BAS 2 Rate]],0)</f>
        <v>2.5</v>
      </c>
      <c r="AX70" s="11"/>
      <c r="AY70" s="11"/>
      <c r="AZ70" s="11"/>
      <c r="BA70" s="11"/>
      <c r="BB70" s="22" t="str">
        <f>IFERROR(Costing[[#This Row],[Minutes/IAS]]*Costing[[#This Row],[IAS Factor]]/60,"")</f>
        <v/>
      </c>
      <c r="BC70" s="23" t="str">
        <f>IFERROR(VLOOKUP(Costing[[#This Row],[IAS Team]],Staff_Info[],4,0),"")</f>
        <v/>
      </c>
      <c r="BD70" s="22" t="str">
        <f>IFERROR(VLOOKUP(Costing[[#This Row],[IAS Frequency]],Frequency[],2,0),"")</f>
        <v/>
      </c>
      <c r="BE70" s="56">
        <f>IFERROR(Costing[[#This Row],[IAS Hours/Month]]*Costing[[#This Row],[IAS Rate]],0)</f>
        <v>0</v>
      </c>
      <c r="BF70" s="11" t="s">
        <v>182</v>
      </c>
      <c r="BG70" s="11" t="s">
        <v>126</v>
      </c>
      <c r="BH70" s="11">
        <v>120</v>
      </c>
      <c r="BI70" s="23">
        <f>IFERROR(VLOOKUP(Costing[[#This Row],[EOFY Team 1]],Staff_Info[],4,0),"")</f>
        <v>50</v>
      </c>
      <c r="BJ70" s="57">
        <f>Costing[[#This Row],[Time Min 1]]/12</f>
        <v>10</v>
      </c>
      <c r="BK70" s="11" t="s">
        <v>116</v>
      </c>
      <c r="BL70" s="11">
        <v>120</v>
      </c>
      <c r="BM70" s="23">
        <f>IFERROR(VLOOKUP(Costing[[#This Row],[EOFY Team 2]],Staff_Info[],4,0),"")</f>
        <v>10</v>
      </c>
      <c r="BN70" s="57">
        <f>Costing[[#This Row],[Time Min 2]]/12</f>
        <v>10</v>
      </c>
      <c r="BO70" s="55">
        <f>IFERROR((Costing[[#This Row],[EOFY 1 Min/Month]]/60*Costing[[#This Row],[EOFY Team 1 Rate]])+(Costing[[#This Row],[EOFY 2 Min/Month]]/60*Costing[[#This Row],[EOFY Team 2 Rate]]),0)</f>
        <v>9.9999999999999982</v>
      </c>
      <c r="BP70" s="11" t="s">
        <v>164</v>
      </c>
      <c r="BQ70" s="55">
        <f>IFERROR(VLOOKUP(Costing[[#This Row],[Software Name]],Software[],2,0),0)</f>
        <v>47.27</v>
      </c>
      <c r="BR70" s="59" t="s">
        <v>294</v>
      </c>
      <c r="BS70" s="11" t="s">
        <v>126</v>
      </c>
      <c r="BT70" s="60">
        <f>IF(Costing[[#This Row],[Minutes/Activity]]&gt;0,Costing[[#This Row],[Minutes/Activity]]*Costing[[#This Row],[Onboarding Factor]],"")</f>
        <v>1190</v>
      </c>
      <c r="BU70" s="60">
        <f>IFERROR(Costing[[#This Row],[Onboarding Minutes]]/60,)</f>
        <v>19.833333333333332</v>
      </c>
      <c r="BV70" s="60">
        <f t="shared" si="4"/>
        <v>79.92</v>
      </c>
      <c r="BW70" s="61">
        <f>IFERROR(VLOOKUP(Costing[[#This Row],[Onboarding Team]],Staff_Info[],4,0),"")</f>
        <v>50</v>
      </c>
      <c r="BX70" s="60">
        <f t="shared" si="5"/>
        <v>5.95</v>
      </c>
      <c r="BY70" s="55">
        <f>IFERROR(Costing[[#This Row],[Onboarding Hours]]/Costing[[#This Row],[Client Life Expectancy (Months)]]*Costing[[#This Row],[Onboarding Rate]],0)</f>
        <v>12.40824157490824</v>
      </c>
      <c r="BZ70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89.908241574908246</v>
      </c>
      <c r="CA70" s="27">
        <v>118.8</v>
      </c>
      <c r="CB70" s="63">
        <f>IFERROR((Costing[[#This Row],[Current Sales Price]]-Costing[[#This Row],[Total  Cost excl. Software]])/Costing[[#This Row],[Current Sales Price]],)</f>
        <v>0.24319661973982956</v>
      </c>
      <c r="CC70" s="64">
        <f>Costing[[#This Row],[Total  Cost excl. Software]]/(1-$CC$1)</f>
        <v>256.88069021402356</v>
      </c>
    </row>
    <row r="71" spans="1:81" x14ac:dyDescent="0.2">
      <c r="A71" s="11" t="s">
        <v>74</v>
      </c>
      <c r="B71" s="48"/>
      <c r="C71" s="17"/>
      <c r="D71" s="17"/>
      <c r="E71" s="17"/>
      <c r="F71" s="21" t="str">
        <f>IFERROR(Costing[[#This Row],[Minutes/Pay Run]]*Costing[[#This Row],[Payroll Factor]]/60,"")</f>
        <v/>
      </c>
      <c r="G71" s="54" t="str">
        <f>IFERROR(VLOOKUP(Costing[[#This Row],[Payroll Team]],Staff_Info[],4,0),"")</f>
        <v/>
      </c>
      <c r="H71" s="21" t="str">
        <f>IFERROR(VLOOKUP(Costing[[#This Row],[Payroll Frequency]],Frequency[],2,0),"")</f>
        <v/>
      </c>
      <c r="I71" s="55">
        <f>IFERROR(Costing[[#This Row],[Payroll Hours/Month]]*Costing[[#This Row],[Payroll Rate]],0)</f>
        <v>0</v>
      </c>
      <c r="J71" s="54" t="s">
        <v>176</v>
      </c>
      <c r="K71" s="11" t="s">
        <v>115</v>
      </c>
      <c r="L71" s="11" t="s">
        <v>183</v>
      </c>
      <c r="M71" s="11">
        <v>10</v>
      </c>
      <c r="N71" s="22">
        <f>IFERROR(Costing[[#This Row],[Minutes/Super]]*Costing[[#This Row],[Super Factor]]/60,"")</f>
        <v>0.16666666666666666</v>
      </c>
      <c r="O71" s="23">
        <f>IFERROR(VLOOKUP(Costing[[#This Row],[Super Team]],Staff_Info[],4,0),"")</f>
        <v>10</v>
      </c>
      <c r="P71" s="22">
        <f>IFERROR(VLOOKUP(Costing[[#This Row],[Super Frequency]],Frequency[],2,0),"")</f>
        <v>1</v>
      </c>
      <c r="Q71" s="55">
        <f>IFERROR(Costing[[#This Row],[Super Hours/Month]]*Costing[[#This Row],[Super Rate]],0)</f>
        <v>1.6666666666666665</v>
      </c>
      <c r="R71" s="11" t="s">
        <v>177</v>
      </c>
      <c r="S71" s="11" t="s">
        <v>115</v>
      </c>
      <c r="T71" s="11" t="s">
        <v>183</v>
      </c>
      <c r="U71" s="11">
        <v>100</v>
      </c>
      <c r="V71" s="22">
        <f>IFERROR(Costing[[#This Row],[Minutes/Activity]]*Costing[[#This Row],[Bookkeeping Factor]]/60,"")</f>
        <v>1.6666666666666667</v>
      </c>
      <c r="W71" s="23">
        <f>IFERROR(VLOOKUP(Costing[[#This Row],[Bookkeeping Team]],Staff_Info[],4,0),"")</f>
        <v>10</v>
      </c>
      <c r="X71" s="22">
        <f>IFERROR(VLOOKUP(Costing[[#This Row],[Bookkeeping Frequency]],Frequency[],2,0),"")</f>
        <v>1</v>
      </c>
      <c r="Y71" s="55">
        <f>IFERROR(Costing[[#This Row],[Bookkeeping Hours/Month]]*Costing[[#This Row],[Bookkeeping Rate]],0)</f>
        <v>16.666666666666668</v>
      </c>
      <c r="Z71" s="11" t="s">
        <v>178</v>
      </c>
      <c r="AA71" s="11" t="s">
        <v>119</v>
      </c>
      <c r="AB71" s="11" t="s">
        <v>183</v>
      </c>
      <c r="AC71" s="11">
        <v>20</v>
      </c>
      <c r="AD71" s="22">
        <f>IFERROR(Costing[[#This Row],[Minutes/Report]]*Costing[[#This Row],[Reporting Factor]]/60,"")</f>
        <v>0.33333333333333331</v>
      </c>
      <c r="AE71" s="23">
        <f>IFERROR(VLOOKUP(Costing[[#This Row],[Reporting Team]],Staff_Info[],4,0),"")</f>
        <v>50</v>
      </c>
      <c r="AF71" s="22">
        <f>IFERROR(VLOOKUP(Costing[[#This Row],[Reporting Frequency]],Frequency[],2,0),"")</f>
        <v>1</v>
      </c>
      <c r="AG71" s="55">
        <f>IFERROR(Costing[[#This Row],[Reporting Hours/Month]]*Costing[[#This Row],[Reporting Rate]],0)</f>
        <v>16.666666666666664</v>
      </c>
      <c r="AH71" s="11" t="s">
        <v>179</v>
      </c>
      <c r="AI71" s="11" t="s">
        <v>115</v>
      </c>
      <c r="AJ71" s="11" t="s">
        <v>157</v>
      </c>
      <c r="AK71" s="11">
        <v>60</v>
      </c>
      <c r="AL71" s="22">
        <f>IFERROR(Costing[[#This Row],[Minutes/BAS 1]]*Costing[[#This Row],[BAS 1 Factor]]/60,"")</f>
        <v>0.33333333333333331</v>
      </c>
      <c r="AM71" s="23">
        <f>IFERROR(VLOOKUP(Costing[[#This Row],[BAS 1 Team]],Staff_Info[],4,0),"")</f>
        <v>10</v>
      </c>
      <c r="AN71" s="22">
        <f>IFERROR(VLOOKUP(Costing[[#This Row],[BAS 1 Frequency]],Frequency[],2,0),"")</f>
        <v>0.33333333333333331</v>
      </c>
      <c r="AO71" s="55">
        <f>IFERROR(Costing[[#This Row],[BAS 1 Hours/Month]]*Costing[[#This Row],[BAS 1 Rate]],0)</f>
        <v>3.333333333333333</v>
      </c>
      <c r="AP71" s="11" t="s">
        <v>180</v>
      </c>
      <c r="AQ71" s="11" t="s">
        <v>117</v>
      </c>
      <c r="AR71" s="11" t="s">
        <v>157</v>
      </c>
      <c r="AS71" s="11">
        <v>15</v>
      </c>
      <c r="AT71" s="22">
        <f>IFERROR(Costing[[#This Row],[Minutes/BAS 2]]*Costing[[#This Row],[BAS 2 Factor]]/60,"")</f>
        <v>8.3333333333333329E-2</v>
      </c>
      <c r="AU71" s="23">
        <f>IFERROR(VLOOKUP(Costing[[#This Row],[BAS 2 Team]],Staff_Info[],4,0),"")</f>
        <v>30</v>
      </c>
      <c r="AV71" s="22">
        <f>IFERROR(VLOOKUP(Costing[[#This Row],[BAS 2 Frequency]],Frequency[],2,0),"")</f>
        <v>0.33333333333333331</v>
      </c>
      <c r="AW71" s="55">
        <f>IFERROR(Costing[[#This Row],[BAS 2 Hours/Month]]*Costing[[#This Row],[BAS 2 Rate]],0)</f>
        <v>2.5</v>
      </c>
      <c r="AX71" s="11" t="s">
        <v>181</v>
      </c>
      <c r="AY71" s="11" t="s">
        <v>117</v>
      </c>
      <c r="AZ71" s="11" t="s">
        <v>183</v>
      </c>
      <c r="BA71" s="11">
        <v>30</v>
      </c>
      <c r="BB71" s="22">
        <f>IFERROR(Costing[[#This Row],[Minutes/IAS]]*Costing[[#This Row],[IAS Factor]]/60,"")</f>
        <v>0.5</v>
      </c>
      <c r="BC71" s="23">
        <f>IFERROR(VLOOKUP(Costing[[#This Row],[IAS Team]],Staff_Info[],4,0),"")</f>
        <v>30</v>
      </c>
      <c r="BD71" s="22">
        <f>IFERROR(VLOOKUP(Costing[[#This Row],[IAS Frequency]],Frequency[],2,0),"")</f>
        <v>1</v>
      </c>
      <c r="BE71" s="56">
        <f>IFERROR(Costing[[#This Row],[IAS Hours/Month]]*Costing[[#This Row],[IAS Rate]],0)</f>
        <v>15</v>
      </c>
      <c r="BF71" s="11" t="s">
        <v>182</v>
      </c>
      <c r="BG71" s="11" t="s">
        <v>119</v>
      </c>
      <c r="BH71" s="11">
        <v>200</v>
      </c>
      <c r="BI71" s="23">
        <f>IFERROR(VLOOKUP(Costing[[#This Row],[EOFY Team 1]],Staff_Info[],4,0),"")</f>
        <v>50</v>
      </c>
      <c r="BJ71" s="57">
        <f>Costing[[#This Row],[Time Min 1]]/12</f>
        <v>16.666666666666668</v>
      </c>
      <c r="BK71" s="11" t="s">
        <v>115</v>
      </c>
      <c r="BL71" s="11">
        <v>180</v>
      </c>
      <c r="BM71" s="23">
        <f>IFERROR(VLOOKUP(Costing[[#This Row],[EOFY Team 2]],Staff_Info[],4,0),"")</f>
        <v>10</v>
      </c>
      <c r="BN71" s="57">
        <f>Costing[[#This Row],[Time Min 2]]/12</f>
        <v>15</v>
      </c>
      <c r="BO71" s="55">
        <f>IFERROR((Costing[[#This Row],[EOFY 1 Min/Month]]/60*Costing[[#This Row],[EOFY Team 1 Rate]])+(Costing[[#This Row],[EOFY 2 Min/Month]]/60*Costing[[#This Row],[EOFY Team 2 Rate]]),0)</f>
        <v>16.388888888888889</v>
      </c>
      <c r="BP71" s="11"/>
      <c r="BQ71" s="55">
        <f>IFERROR(VLOOKUP(Costing[[#This Row],[Software Name]],Software[],2,0),0)</f>
        <v>0</v>
      </c>
      <c r="BR71" s="59" t="s">
        <v>294</v>
      </c>
      <c r="BS71" s="11" t="s">
        <v>119</v>
      </c>
      <c r="BT71" s="60">
        <f>IF(Costing[[#This Row],[Minutes/Activity]]&gt;0,Costing[[#This Row],[Minutes/Activity]]*Costing[[#This Row],[Onboarding Factor]],"")</f>
        <v>595</v>
      </c>
      <c r="BU71" s="60">
        <f>IFERROR(Costing[[#This Row],[Onboarding Minutes]]/60,)</f>
        <v>9.9166666666666661</v>
      </c>
      <c r="BV71" s="60">
        <f t="shared" si="4"/>
        <v>79.92</v>
      </c>
      <c r="BW71" s="61">
        <f>IFERROR(VLOOKUP(Costing[[#This Row],[Onboarding Team]],Staff_Info[],4,0),"")</f>
        <v>50</v>
      </c>
      <c r="BX71" s="60">
        <f t="shared" si="5"/>
        <v>5.95</v>
      </c>
      <c r="BY71" s="55">
        <f>IFERROR(Costing[[#This Row],[Onboarding Hours]]/Costing[[#This Row],[Client Life Expectancy (Months)]]*Costing[[#This Row],[Onboarding Rate]],0)</f>
        <v>6.2041207874541202</v>
      </c>
      <c r="BZ71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78.426343009676344</v>
      </c>
      <c r="CA71" s="27">
        <v>200</v>
      </c>
      <c r="CB71" s="63">
        <f>IFERROR((Costing[[#This Row],[Current Sales Price]]-Costing[[#This Row],[Total  Cost excl. Software]])/Costing[[#This Row],[Current Sales Price]],)</f>
        <v>0.60786828495161827</v>
      </c>
      <c r="CC71" s="64">
        <f>Costing[[#This Row],[Total  Cost excl. Software]]/(1-$CC$1)</f>
        <v>224.07526574193241</v>
      </c>
    </row>
    <row r="72" spans="1:81" x14ac:dyDescent="0.2">
      <c r="A72" s="11" t="s">
        <v>75</v>
      </c>
      <c r="B72" s="48"/>
      <c r="C72" s="17"/>
      <c r="D72" s="17"/>
      <c r="E72" s="17"/>
      <c r="F72" s="21" t="str">
        <f>IFERROR(Costing[[#This Row],[Minutes/Pay Run]]*Costing[[#This Row],[Payroll Factor]]/60,"")</f>
        <v/>
      </c>
      <c r="G72" s="54" t="str">
        <f>IFERROR(VLOOKUP(Costing[[#This Row],[Payroll Team]],Staff_Info[],4,0),"")</f>
        <v/>
      </c>
      <c r="H72" s="21" t="str">
        <f>IFERROR(VLOOKUP(Costing[[#This Row],[Payroll Frequency]],Frequency[],2,0),"")</f>
        <v/>
      </c>
      <c r="I72" s="55">
        <f>IFERROR(Costing[[#This Row],[Payroll Hours/Month]]*Costing[[#This Row],[Payroll Rate]],0)</f>
        <v>0</v>
      </c>
      <c r="J72" s="54"/>
      <c r="K72" s="11"/>
      <c r="L72" s="11"/>
      <c r="M72" s="11"/>
      <c r="N72" s="22" t="str">
        <f>IFERROR(Costing[[#This Row],[Minutes/Super]]*Costing[[#This Row],[Super Factor]]/60,"")</f>
        <v/>
      </c>
      <c r="O72" s="23" t="str">
        <f>IFERROR(VLOOKUP(Costing[[#This Row],[Super Team]],Staff_Info[],4,0),"")</f>
        <v/>
      </c>
      <c r="P72" s="22" t="str">
        <f>IFERROR(VLOOKUP(Costing[[#This Row],[Super Frequency]],Frequency[],2,0),"")</f>
        <v/>
      </c>
      <c r="Q72" s="55">
        <f>IFERROR(Costing[[#This Row],[Super Hours/Month]]*Costing[[#This Row],[Super Rate]],0)</f>
        <v>0</v>
      </c>
      <c r="R72" s="11" t="s">
        <v>177</v>
      </c>
      <c r="S72" s="11" t="s">
        <v>117</v>
      </c>
      <c r="T72" s="11" t="s">
        <v>183</v>
      </c>
      <c r="U72" s="11">
        <v>20</v>
      </c>
      <c r="V72" s="22">
        <f>IFERROR(Costing[[#This Row],[Minutes/Activity]]*Costing[[#This Row],[Bookkeeping Factor]]/60,"")</f>
        <v>0.33333333333333331</v>
      </c>
      <c r="W72" s="23">
        <f>IFERROR(VLOOKUP(Costing[[#This Row],[Bookkeeping Team]],Staff_Info[],4,0),"")</f>
        <v>30</v>
      </c>
      <c r="X72" s="22">
        <f>IFERROR(VLOOKUP(Costing[[#This Row],[Bookkeeping Frequency]],Frequency[],2,0),"")</f>
        <v>1</v>
      </c>
      <c r="Y72" s="55">
        <f>IFERROR(Costing[[#This Row],[Bookkeeping Hours/Month]]*Costing[[#This Row],[Bookkeeping Rate]],0)</f>
        <v>10</v>
      </c>
      <c r="Z72" s="11"/>
      <c r="AA72" s="11"/>
      <c r="AB72" s="11"/>
      <c r="AC72" s="11"/>
      <c r="AD72" s="22" t="str">
        <f>IFERROR(Costing[[#This Row],[Minutes/Report]]*Costing[[#This Row],[Reporting Factor]]/60,"")</f>
        <v/>
      </c>
      <c r="AE72" s="23" t="str">
        <f>IFERROR(VLOOKUP(Costing[[#This Row],[Reporting Team]],Staff_Info[],4,0),"")</f>
        <v/>
      </c>
      <c r="AF72" s="22" t="str">
        <f>IFERROR(VLOOKUP(Costing[[#This Row],[Reporting Frequency]],Frequency[],2,0),"")</f>
        <v/>
      </c>
      <c r="AG72" s="55">
        <f>IFERROR(Costing[[#This Row],[Reporting Hours/Month]]*Costing[[#This Row],[Reporting Rate]],0)</f>
        <v>0</v>
      </c>
      <c r="AH72" s="11"/>
      <c r="AI72" s="11"/>
      <c r="AJ72" s="11"/>
      <c r="AK72" s="11"/>
      <c r="AL72" s="22" t="str">
        <f>IFERROR(Costing[[#This Row],[Minutes/BAS 1]]*Costing[[#This Row],[BAS 1 Factor]]/60,"")</f>
        <v/>
      </c>
      <c r="AM72" s="23" t="str">
        <f>IFERROR(VLOOKUP(Costing[[#This Row],[BAS 1 Team]],Staff_Info[],4,0),"")</f>
        <v/>
      </c>
      <c r="AN72" s="22" t="str">
        <f>IFERROR(VLOOKUP(Costing[[#This Row],[BAS 1 Frequency]],Frequency[],2,0),"")</f>
        <v/>
      </c>
      <c r="AO72" s="55">
        <f>IFERROR(Costing[[#This Row],[BAS 1 Hours/Month]]*Costing[[#This Row],[BAS 1 Rate]],0)</f>
        <v>0</v>
      </c>
      <c r="AP72" s="11"/>
      <c r="AQ72" s="11"/>
      <c r="AR72" s="11"/>
      <c r="AS72" s="11"/>
      <c r="AT72" s="22" t="str">
        <f>IFERROR(Costing[[#This Row],[Minutes/BAS 2]]*Costing[[#This Row],[BAS 2 Factor]]/60,"")</f>
        <v/>
      </c>
      <c r="AU72" s="23" t="str">
        <f>IFERROR(VLOOKUP(Costing[[#This Row],[BAS 2 Team]],Staff_Info[],4,0),"")</f>
        <v/>
      </c>
      <c r="AV72" s="22" t="str">
        <f>IFERROR(VLOOKUP(Costing[[#This Row],[BAS 2 Frequency]],Frequency[],2,0),"")</f>
        <v/>
      </c>
      <c r="AW72" s="55">
        <f>IFERROR(Costing[[#This Row],[BAS 2 Hours/Month]]*Costing[[#This Row],[BAS 2 Rate]],0)</f>
        <v>0</v>
      </c>
      <c r="AX72" s="11"/>
      <c r="AY72" s="11"/>
      <c r="AZ72" s="11"/>
      <c r="BA72" s="11"/>
      <c r="BB72" s="22" t="str">
        <f>IFERROR(Costing[[#This Row],[Minutes/IAS]]*Costing[[#This Row],[IAS Factor]]/60,"")</f>
        <v/>
      </c>
      <c r="BC72" s="23" t="str">
        <f>IFERROR(VLOOKUP(Costing[[#This Row],[IAS Team]],Staff_Info[],4,0),"")</f>
        <v/>
      </c>
      <c r="BD72" s="22" t="str">
        <f>IFERROR(VLOOKUP(Costing[[#This Row],[IAS Frequency]],Frequency[],2,0),"")</f>
        <v/>
      </c>
      <c r="BE72" s="56">
        <f>IFERROR(Costing[[#This Row],[IAS Hours/Month]]*Costing[[#This Row],[IAS Rate]],0)</f>
        <v>0</v>
      </c>
      <c r="BF72" s="11" t="s">
        <v>182</v>
      </c>
      <c r="BG72" s="11" t="s">
        <v>119</v>
      </c>
      <c r="BH72" s="11">
        <v>30</v>
      </c>
      <c r="BI72" s="23">
        <f>IFERROR(VLOOKUP(Costing[[#This Row],[EOFY Team 1]],Staff_Info[],4,0),"")</f>
        <v>50</v>
      </c>
      <c r="BJ72" s="57">
        <f>Costing[[#This Row],[Time Min 1]]/12</f>
        <v>2.5</v>
      </c>
      <c r="BK72" s="11" t="s">
        <v>117</v>
      </c>
      <c r="BL72" s="11">
        <v>30</v>
      </c>
      <c r="BM72" s="23">
        <f>IFERROR(VLOOKUP(Costing[[#This Row],[EOFY Team 2]],Staff_Info[],4,0),"")</f>
        <v>30</v>
      </c>
      <c r="BN72" s="57">
        <f>Costing[[#This Row],[Time Min 2]]/12</f>
        <v>2.5</v>
      </c>
      <c r="BO72" s="55">
        <f>IFERROR((Costing[[#This Row],[EOFY 1 Min/Month]]/60*Costing[[#This Row],[EOFY Team 1 Rate]])+(Costing[[#This Row],[EOFY 2 Min/Month]]/60*Costing[[#This Row],[EOFY Team 2 Rate]]),0)</f>
        <v>3.333333333333333</v>
      </c>
      <c r="BP72" s="11" t="s">
        <v>160</v>
      </c>
      <c r="BQ72" s="55">
        <f>IFERROR(VLOOKUP(Costing[[#This Row],[Software Name]],Software[],2,0),0)</f>
        <v>9.09</v>
      </c>
      <c r="BR72" s="59" t="s">
        <v>294</v>
      </c>
      <c r="BS72" s="11" t="s">
        <v>119</v>
      </c>
      <c r="BT72" s="60">
        <f>IF(Costing[[#This Row],[Minutes/Activity]]&gt;0,Costing[[#This Row],[Minutes/Activity]]*Costing[[#This Row],[Onboarding Factor]],"")</f>
        <v>119</v>
      </c>
      <c r="BU72" s="60">
        <f>IFERROR(Costing[[#This Row],[Onboarding Minutes]]/60,)</f>
        <v>1.9833333333333334</v>
      </c>
      <c r="BV72" s="60">
        <f t="shared" si="4"/>
        <v>79.92</v>
      </c>
      <c r="BW72" s="61">
        <f>IFERROR(VLOOKUP(Costing[[#This Row],[Onboarding Team]],Staff_Info[],4,0),"")</f>
        <v>50</v>
      </c>
      <c r="BX72" s="60">
        <f t="shared" si="5"/>
        <v>5.95</v>
      </c>
      <c r="BY72" s="55">
        <f>IFERROR(Costing[[#This Row],[Onboarding Hours]]/Costing[[#This Row],[Client Life Expectancy (Months)]]*Costing[[#This Row],[Onboarding Rate]],0)</f>
        <v>1.2408241574908241</v>
      </c>
      <c r="BZ72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14.574157490824156</v>
      </c>
      <c r="CA72" s="27">
        <v>55</v>
      </c>
      <c r="CB72" s="63">
        <f>IFERROR((Costing[[#This Row],[Current Sales Price]]-Costing[[#This Row],[Total  Cost excl. Software]])/Costing[[#This Row],[Current Sales Price]],)</f>
        <v>0.73501531834865175</v>
      </c>
      <c r="CC72" s="64">
        <f>Costing[[#This Row],[Total  Cost excl. Software]]/(1-$CC$1)</f>
        <v>41.640449973783305</v>
      </c>
    </row>
    <row r="73" spans="1:81" x14ac:dyDescent="0.2">
      <c r="A73" s="11" t="s">
        <v>77</v>
      </c>
      <c r="B73" s="48" t="s">
        <v>145</v>
      </c>
      <c r="C73" s="17" t="s">
        <v>117</v>
      </c>
      <c r="D73" s="17" t="s">
        <v>155</v>
      </c>
      <c r="E73" s="17">
        <v>15</v>
      </c>
      <c r="F73" s="21">
        <f>IFERROR(Costing[[#This Row],[Minutes/Pay Run]]*Costing[[#This Row],[Payroll Factor]]/60,"")</f>
        <v>0.54166666666666663</v>
      </c>
      <c r="G73" s="54">
        <f>IFERROR(VLOOKUP(Costing[[#This Row],[Payroll Team]],Staff_Info[],4,0),"")</f>
        <v>30</v>
      </c>
      <c r="H73" s="21">
        <f>IFERROR(VLOOKUP(Costing[[#This Row],[Payroll Frequency]],Frequency[],2,0),"")</f>
        <v>2.1666666666666665</v>
      </c>
      <c r="I73" s="55">
        <f>IFERROR(Costing[[#This Row],[Payroll Hours/Month]]*Costing[[#This Row],[Payroll Rate]],0)</f>
        <v>16.25</v>
      </c>
      <c r="J73" s="54"/>
      <c r="K73" s="11"/>
      <c r="L73" s="11"/>
      <c r="M73" s="11"/>
      <c r="N73" s="22" t="str">
        <f>IFERROR(Costing[[#This Row],[Minutes/Super]]*Costing[[#This Row],[Super Factor]]/60,"")</f>
        <v/>
      </c>
      <c r="O73" s="23" t="str">
        <f>IFERROR(VLOOKUP(Costing[[#This Row],[Super Team]],Staff_Info[],4,0),"")</f>
        <v/>
      </c>
      <c r="P73" s="22" t="str">
        <f>IFERROR(VLOOKUP(Costing[[#This Row],[Super Frequency]],Frequency[],2,0),"")</f>
        <v/>
      </c>
      <c r="Q73" s="55">
        <f>IFERROR(Costing[[#This Row],[Super Hours/Month]]*Costing[[#This Row],[Super Rate]],0)</f>
        <v>0</v>
      </c>
      <c r="R73" s="11" t="s">
        <v>177</v>
      </c>
      <c r="S73" s="11" t="s">
        <v>117</v>
      </c>
      <c r="T73" s="11" t="s">
        <v>183</v>
      </c>
      <c r="U73" s="11">
        <v>1200</v>
      </c>
      <c r="V73" s="22">
        <f>IFERROR(Costing[[#This Row],[Minutes/Activity]]*Costing[[#This Row],[Bookkeeping Factor]]/60,"")</f>
        <v>20</v>
      </c>
      <c r="W73" s="23">
        <f>IFERROR(VLOOKUP(Costing[[#This Row],[Bookkeeping Team]],Staff_Info[],4,0),"")</f>
        <v>30</v>
      </c>
      <c r="X73" s="22">
        <f>IFERROR(VLOOKUP(Costing[[#This Row],[Bookkeeping Frequency]],Frequency[],2,0),"")</f>
        <v>1</v>
      </c>
      <c r="Y73" s="55">
        <f>IFERROR(Costing[[#This Row],[Bookkeeping Hours/Month]]*Costing[[#This Row],[Bookkeeping Rate]],0)</f>
        <v>600</v>
      </c>
      <c r="Z73" s="11" t="s">
        <v>178</v>
      </c>
      <c r="AA73" s="11" t="s">
        <v>119</v>
      </c>
      <c r="AB73" s="11" t="s">
        <v>183</v>
      </c>
      <c r="AC73" s="11">
        <v>60</v>
      </c>
      <c r="AD73" s="22">
        <f>IFERROR(Costing[[#This Row],[Minutes/Report]]*Costing[[#This Row],[Reporting Factor]]/60,"")</f>
        <v>1</v>
      </c>
      <c r="AE73" s="23">
        <f>IFERROR(VLOOKUP(Costing[[#This Row],[Reporting Team]],Staff_Info[],4,0),"")</f>
        <v>50</v>
      </c>
      <c r="AF73" s="22">
        <f>IFERROR(VLOOKUP(Costing[[#This Row],[Reporting Frequency]],Frequency[],2,0),"")</f>
        <v>1</v>
      </c>
      <c r="AG73" s="55">
        <f>IFERROR(Costing[[#This Row],[Reporting Hours/Month]]*Costing[[#This Row],[Reporting Rate]],0)</f>
        <v>50</v>
      </c>
      <c r="AH73" s="11" t="s">
        <v>179</v>
      </c>
      <c r="AI73" s="11" t="s">
        <v>117</v>
      </c>
      <c r="AJ73" s="11" t="s">
        <v>157</v>
      </c>
      <c r="AK73" s="11">
        <v>60</v>
      </c>
      <c r="AL73" s="22">
        <f>IFERROR(Costing[[#This Row],[Minutes/BAS 1]]*Costing[[#This Row],[BAS 1 Factor]]/60,"")</f>
        <v>0.33333333333333331</v>
      </c>
      <c r="AM73" s="23">
        <f>IFERROR(VLOOKUP(Costing[[#This Row],[BAS 1 Team]],Staff_Info[],4,0),"")</f>
        <v>30</v>
      </c>
      <c r="AN73" s="22">
        <f>IFERROR(VLOOKUP(Costing[[#This Row],[BAS 1 Frequency]],Frequency[],2,0),"")</f>
        <v>0.33333333333333331</v>
      </c>
      <c r="AO73" s="55">
        <f>IFERROR(Costing[[#This Row],[BAS 1 Hours/Month]]*Costing[[#This Row],[BAS 1 Rate]],0)</f>
        <v>10</v>
      </c>
      <c r="AP73" s="11" t="s">
        <v>180</v>
      </c>
      <c r="AQ73" s="11" t="s">
        <v>117</v>
      </c>
      <c r="AR73" s="11" t="s">
        <v>157</v>
      </c>
      <c r="AS73" s="11">
        <v>15</v>
      </c>
      <c r="AT73" s="22">
        <f>IFERROR(Costing[[#This Row],[Minutes/BAS 2]]*Costing[[#This Row],[BAS 2 Factor]]/60,"")</f>
        <v>8.3333333333333329E-2</v>
      </c>
      <c r="AU73" s="23">
        <f>IFERROR(VLOOKUP(Costing[[#This Row],[BAS 2 Team]],Staff_Info[],4,0),"")</f>
        <v>30</v>
      </c>
      <c r="AV73" s="22">
        <f>IFERROR(VLOOKUP(Costing[[#This Row],[BAS 2 Frequency]],Frequency[],2,0),"")</f>
        <v>0.33333333333333331</v>
      </c>
      <c r="AW73" s="55">
        <f>IFERROR(Costing[[#This Row],[BAS 2 Hours/Month]]*Costing[[#This Row],[BAS 2 Rate]],0)</f>
        <v>2.5</v>
      </c>
      <c r="AX73" s="11" t="s">
        <v>181</v>
      </c>
      <c r="AY73" s="11" t="s">
        <v>117</v>
      </c>
      <c r="AZ73" s="11" t="s">
        <v>183</v>
      </c>
      <c r="BA73" s="11">
        <v>30</v>
      </c>
      <c r="BB73" s="22">
        <f>IFERROR(Costing[[#This Row],[Minutes/IAS]]*Costing[[#This Row],[IAS Factor]]/60,"")</f>
        <v>0.5</v>
      </c>
      <c r="BC73" s="23">
        <f>IFERROR(VLOOKUP(Costing[[#This Row],[IAS Team]],Staff_Info[],4,0),"")</f>
        <v>30</v>
      </c>
      <c r="BD73" s="22">
        <f>IFERROR(VLOOKUP(Costing[[#This Row],[IAS Frequency]],Frequency[],2,0),"")</f>
        <v>1</v>
      </c>
      <c r="BE73" s="56">
        <f>IFERROR(Costing[[#This Row],[IAS Hours/Month]]*Costing[[#This Row],[IAS Rate]],0)</f>
        <v>15</v>
      </c>
      <c r="BF73" s="11" t="s">
        <v>182</v>
      </c>
      <c r="BG73" s="11" t="s">
        <v>117</v>
      </c>
      <c r="BH73" s="11">
        <v>120</v>
      </c>
      <c r="BI73" s="23">
        <f>IFERROR(VLOOKUP(Costing[[#This Row],[EOFY Team 1]],Staff_Info[],4,0),"")</f>
        <v>30</v>
      </c>
      <c r="BJ73" s="57">
        <f>Costing[[#This Row],[Time Min 1]]/12</f>
        <v>10</v>
      </c>
      <c r="BK73" s="11" t="s">
        <v>119</v>
      </c>
      <c r="BL73" s="11">
        <v>60</v>
      </c>
      <c r="BM73" s="23">
        <f>IFERROR(VLOOKUP(Costing[[#This Row],[EOFY Team 2]],Staff_Info[],4,0),"")</f>
        <v>50</v>
      </c>
      <c r="BN73" s="57">
        <f>Costing[[#This Row],[Time Min 2]]/12</f>
        <v>5</v>
      </c>
      <c r="BO73" s="55">
        <f>IFERROR((Costing[[#This Row],[EOFY 1 Min/Month]]/60*Costing[[#This Row],[EOFY Team 1 Rate]])+(Costing[[#This Row],[EOFY 2 Min/Month]]/60*Costing[[#This Row],[EOFY Team 2 Rate]]),0)</f>
        <v>9.1666666666666661</v>
      </c>
      <c r="BP73" s="11"/>
      <c r="BQ73" s="55">
        <f>IFERROR(VLOOKUP(Costing[[#This Row],[Software Name]],Software[],2,0),0)</f>
        <v>0</v>
      </c>
      <c r="BR73" s="59" t="s">
        <v>294</v>
      </c>
      <c r="BS73" s="11" t="s">
        <v>119</v>
      </c>
      <c r="BT73" s="60">
        <f>IF(Costing[[#This Row],[Minutes/Activity]]&gt;0,Costing[[#This Row],[Minutes/Activity]]*Costing[[#This Row],[Onboarding Factor]],"")</f>
        <v>7140</v>
      </c>
      <c r="BU73" s="60">
        <f>IFERROR(Costing[[#This Row],[Onboarding Minutes]]/60,)</f>
        <v>119</v>
      </c>
      <c r="BV73" s="60">
        <f t="shared" si="4"/>
        <v>79.92</v>
      </c>
      <c r="BW73" s="61">
        <f>IFERROR(VLOOKUP(Costing[[#This Row],[Onboarding Team]],Staff_Info[],4,0),"")</f>
        <v>50</v>
      </c>
      <c r="BX73" s="60">
        <f t="shared" si="5"/>
        <v>5.95</v>
      </c>
      <c r="BY73" s="55">
        <f>IFERROR(Costing[[#This Row],[Onboarding Hours]]/Costing[[#This Row],[Client Life Expectancy (Months)]]*Costing[[#This Row],[Onboarding Rate]],0)</f>
        <v>74.449449449449446</v>
      </c>
      <c r="BZ73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777.36611611611602</v>
      </c>
      <c r="CA73" s="27">
        <v>1182</v>
      </c>
      <c r="CB73" s="63">
        <f>IFERROR((Costing[[#This Row],[Current Sales Price]]-Costing[[#This Row],[Total  Cost excl. Software]])/Costing[[#This Row],[Current Sales Price]],)</f>
        <v>0.34232985100159391</v>
      </c>
      <c r="CC73" s="64">
        <f>Costing[[#This Row],[Total  Cost excl. Software]]/(1-$CC$1)</f>
        <v>2221.0460460460458</v>
      </c>
    </row>
    <row r="74" spans="1:81" x14ac:dyDescent="0.2">
      <c r="A74" s="11" t="s">
        <v>78</v>
      </c>
      <c r="B74" s="48" t="s">
        <v>145</v>
      </c>
      <c r="C74" s="17" t="s">
        <v>116</v>
      </c>
      <c r="D74" s="17" t="s">
        <v>154</v>
      </c>
      <c r="E74" s="17">
        <v>20</v>
      </c>
      <c r="F74" s="21">
        <f>IFERROR(Costing[[#This Row],[Minutes/Pay Run]]*Costing[[#This Row],[Payroll Factor]]/60,"")</f>
        <v>1.4444444444444442</v>
      </c>
      <c r="G74" s="54">
        <f>IFERROR(VLOOKUP(Costing[[#This Row],[Payroll Team]],Staff_Info[],4,0),"")</f>
        <v>10</v>
      </c>
      <c r="H74" s="21">
        <f>IFERROR(VLOOKUP(Costing[[#This Row],[Payroll Frequency]],Frequency[],2,0),"")</f>
        <v>4.333333333333333</v>
      </c>
      <c r="I74" s="55">
        <f>IFERROR(Costing[[#This Row],[Payroll Hours/Month]]*Costing[[#This Row],[Payroll Rate]],0)</f>
        <v>14.444444444444443</v>
      </c>
      <c r="J74" s="54" t="s">
        <v>176</v>
      </c>
      <c r="K74" s="11" t="s">
        <v>116</v>
      </c>
      <c r="L74" s="11" t="s">
        <v>157</v>
      </c>
      <c r="M74" s="11">
        <v>15</v>
      </c>
      <c r="N74" s="22">
        <f>IFERROR(Costing[[#This Row],[Minutes/Super]]*Costing[[#This Row],[Super Factor]]/60,"")</f>
        <v>8.3333333333333329E-2</v>
      </c>
      <c r="O74" s="23">
        <f>IFERROR(VLOOKUP(Costing[[#This Row],[Super Team]],Staff_Info[],4,0),"")</f>
        <v>10</v>
      </c>
      <c r="P74" s="22">
        <f>IFERROR(VLOOKUP(Costing[[#This Row],[Super Frequency]],Frequency[],2,0),"")</f>
        <v>0.33333333333333331</v>
      </c>
      <c r="Q74" s="55">
        <f>IFERROR(Costing[[#This Row],[Super Hours/Month]]*Costing[[#This Row],[Super Rate]],0)</f>
        <v>0.83333333333333326</v>
      </c>
      <c r="R74" s="11" t="s">
        <v>177</v>
      </c>
      <c r="S74" s="11" t="s">
        <v>116</v>
      </c>
      <c r="T74" s="11" t="s">
        <v>183</v>
      </c>
      <c r="U74" s="11">
        <v>60</v>
      </c>
      <c r="V74" s="22">
        <f>IFERROR(Costing[[#This Row],[Minutes/Activity]]*Costing[[#This Row],[Bookkeeping Factor]]/60,"")</f>
        <v>1</v>
      </c>
      <c r="W74" s="23">
        <f>IFERROR(VLOOKUP(Costing[[#This Row],[Bookkeeping Team]],Staff_Info[],4,0),"")</f>
        <v>10</v>
      </c>
      <c r="X74" s="22">
        <f>IFERROR(VLOOKUP(Costing[[#This Row],[Bookkeeping Frequency]],Frequency[],2,0),"")</f>
        <v>1</v>
      </c>
      <c r="Y74" s="55">
        <f>IFERROR(Costing[[#This Row],[Bookkeeping Hours/Month]]*Costing[[#This Row],[Bookkeeping Rate]],0)</f>
        <v>10</v>
      </c>
      <c r="Z74" s="11" t="s">
        <v>178</v>
      </c>
      <c r="AA74" s="11" t="s">
        <v>119</v>
      </c>
      <c r="AB74" s="11" t="s">
        <v>183</v>
      </c>
      <c r="AC74" s="11">
        <v>10</v>
      </c>
      <c r="AD74" s="22">
        <f>IFERROR(Costing[[#This Row],[Minutes/Report]]*Costing[[#This Row],[Reporting Factor]]/60,"")</f>
        <v>0.16666666666666666</v>
      </c>
      <c r="AE74" s="23">
        <f>IFERROR(VLOOKUP(Costing[[#This Row],[Reporting Team]],Staff_Info[],4,0),"")</f>
        <v>50</v>
      </c>
      <c r="AF74" s="22">
        <f>IFERROR(VLOOKUP(Costing[[#This Row],[Reporting Frequency]],Frequency[],2,0),"")</f>
        <v>1</v>
      </c>
      <c r="AG74" s="55">
        <f>IFERROR(Costing[[#This Row],[Reporting Hours/Month]]*Costing[[#This Row],[Reporting Rate]],0)</f>
        <v>8.3333333333333321</v>
      </c>
      <c r="AH74" s="11" t="s">
        <v>179</v>
      </c>
      <c r="AI74" s="11" t="s">
        <v>115</v>
      </c>
      <c r="AJ74" s="11" t="s">
        <v>157</v>
      </c>
      <c r="AK74" s="11">
        <v>60</v>
      </c>
      <c r="AL74" s="22">
        <f>IFERROR(Costing[[#This Row],[Minutes/BAS 1]]*Costing[[#This Row],[BAS 1 Factor]]/60,"")</f>
        <v>0.33333333333333331</v>
      </c>
      <c r="AM74" s="23">
        <f>IFERROR(VLOOKUP(Costing[[#This Row],[BAS 1 Team]],Staff_Info[],4,0),"")</f>
        <v>10</v>
      </c>
      <c r="AN74" s="22">
        <f>IFERROR(VLOOKUP(Costing[[#This Row],[BAS 1 Frequency]],Frequency[],2,0),"")</f>
        <v>0.33333333333333331</v>
      </c>
      <c r="AO74" s="55">
        <f>IFERROR(Costing[[#This Row],[BAS 1 Hours/Month]]*Costing[[#This Row],[BAS 1 Rate]],0)</f>
        <v>3.333333333333333</v>
      </c>
      <c r="AP74" s="11" t="s">
        <v>180</v>
      </c>
      <c r="AQ74" s="11" t="s">
        <v>117</v>
      </c>
      <c r="AR74" s="11" t="s">
        <v>157</v>
      </c>
      <c r="AS74" s="11">
        <v>15</v>
      </c>
      <c r="AT74" s="22">
        <f>IFERROR(Costing[[#This Row],[Minutes/BAS 2]]*Costing[[#This Row],[BAS 2 Factor]]/60,"")</f>
        <v>8.3333333333333329E-2</v>
      </c>
      <c r="AU74" s="23">
        <f>IFERROR(VLOOKUP(Costing[[#This Row],[BAS 2 Team]],Staff_Info[],4,0),"")</f>
        <v>30</v>
      </c>
      <c r="AV74" s="22">
        <f>IFERROR(VLOOKUP(Costing[[#This Row],[BAS 2 Frequency]],Frequency[],2,0),"")</f>
        <v>0.33333333333333331</v>
      </c>
      <c r="AW74" s="55">
        <f>IFERROR(Costing[[#This Row],[BAS 2 Hours/Month]]*Costing[[#This Row],[BAS 2 Rate]],0)</f>
        <v>2.5</v>
      </c>
      <c r="AX74" s="11"/>
      <c r="AY74" s="11"/>
      <c r="AZ74" s="11"/>
      <c r="BA74" s="11"/>
      <c r="BB74" s="22" t="str">
        <f>IFERROR(Costing[[#This Row],[Minutes/IAS]]*Costing[[#This Row],[IAS Factor]]/60,"")</f>
        <v/>
      </c>
      <c r="BC74" s="23" t="str">
        <f>IFERROR(VLOOKUP(Costing[[#This Row],[IAS Team]],Staff_Info[],4,0),"")</f>
        <v/>
      </c>
      <c r="BD74" s="22" t="str">
        <f>IFERROR(VLOOKUP(Costing[[#This Row],[IAS Frequency]],Frequency[],2,0),"")</f>
        <v/>
      </c>
      <c r="BE74" s="56">
        <f>IFERROR(Costing[[#This Row],[IAS Hours/Month]]*Costing[[#This Row],[IAS Rate]],0)</f>
        <v>0</v>
      </c>
      <c r="BF74" s="11" t="s">
        <v>182</v>
      </c>
      <c r="BG74" s="11" t="s">
        <v>119</v>
      </c>
      <c r="BH74" s="11">
        <v>60</v>
      </c>
      <c r="BI74" s="23">
        <f>IFERROR(VLOOKUP(Costing[[#This Row],[EOFY Team 1]],Staff_Info[],4,0),"")</f>
        <v>50</v>
      </c>
      <c r="BJ74" s="57">
        <f>Costing[[#This Row],[Time Min 1]]/12</f>
        <v>5</v>
      </c>
      <c r="BK74" s="11" t="s">
        <v>116</v>
      </c>
      <c r="BL74" s="11">
        <v>60</v>
      </c>
      <c r="BM74" s="23">
        <f>IFERROR(VLOOKUP(Costing[[#This Row],[EOFY Team 2]],Staff_Info[],4,0),"")</f>
        <v>10</v>
      </c>
      <c r="BN74" s="57">
        <f>Costing[[#This Row],[Time Min 2]]/12</f>
        <v>5</v>
      </c>
      <c r="BO74" s="55">
        <f>IFERROR((Costing[[#This Row],[EOFY 1 Min/Month]]/60*Costing[[#This Row],[EOFY Team 1 Rate]])+(Costing[[#This Row],[EOFY 2 Min/Month]]/60*Costing[[#This Row],[EOFY Team 2 Rate]]),0)</f>
        <v>4.9999999999999991</v>
      </c>
      <c r="BP74" s="11" t="s">
        <v>166</v>
      </c>
      <c r="BQ74" s="55">
        <f>IFERROR(VLOOKUP(Costing[[#This Row],[Software Name]],Software[],2,0),0)</f>
        <v>65.459999999999994</v>
      </c>
      <c r="BR74" s="59" t="s">
        <v>294</v>
      </c>
      <c r="BS74" s="11" t="s">
        <v>119</v>
      </c>
      <c r="BT74" s="60">
        <f>IF(Costing[[#This Row],[Minutes/Activity]]&gt;0,Costing[[#This Row],[Minutes/Activity]]*Costing[[#This Row],[Onboarding Factor]],"")</f>
        <v>357</v>
      </c>
      <c r="BU74" s="60">
        <f>IFERROR(Costing[[#This Row],[Onboarding Minutes]]/60,)</f>
        <v>5.95</v>
      </c>
      <c r="BV74" s="60">
        <f t="shared" si="4"/>
        <v>79.92</v>
      </c>
      <c r="BW74" s="61">
        <f>IFERROR(VLOOKUP(Costing[[#This Row],[Onboarding Team]],Staff_Info[],4,0),"")</f>
        <v>50</v>
      </c>
      <c r="BX74" s="60">
        <f t="shared" si="5"/>
        <v>5.95</v>
      </c>
      <c r="BY74" s="55">
        <f>IFERROR(Costing[[#This Row],[Onboarding Hours]]/Costing[[#This Row],[Client Life Expectancy (Months)]]*Costing[[#This Row],[Onboarding Rate]],0)</f>
        <v>3.7224724724724725</v>
      </c>
      <c r="BZ74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48.166916916916925</v>
      </c>
      <c r="CA74" s="27">
        <v>63.64</v>
      </c>
      <c r="CB74" s="63">
        <f>IFERROR((Costing[[#This Row],[Current Sales Price]]-Costing[[#This Row],[Total  Cost excl. Software]])/Costing[[#This Row],[Current Sales Price]],)</f>
        <v>0.24313455504530287</v>
      </c>
      <c r="CC74" s="64">
        <f>Costing[[#This Row],[Total  Cost excl. Software]]/(1-$CC$1)</f>
        <v>137.61976261976264</v>
      </c>
    </row>
    <row r="75" spans="1:81" x14ac:dyDescent="0.2">
      <c r="A75" s="11" t="s">
        <v>79</v>
      </c>
      <c r="B75" s="48"/>
      <c r="C75" s="17"/>
      <c r="D75" s="17"/>
      <c r="E75" s="17"/>
      <c r="F75" s="21" t="str">
        <f>IFERROR(Costing[[#This Row],[Minutes/Pay Run]]*Costing[[#This Row],[Payroll Factor]]/60,"")</f>
        <v/>
      </c>
      <c r="G75" s="54" t="str">
        <f>IFERROR(VLOOKUP(Costing[[#This Row],[Payroll Team]],Staff_Info[],4,0),"")</f>
        <v/>
      </c>
      <c r="H75" s="21" t="str">
        <f>IFERROR(VLOOKUP(Costing[[#This Row],[Payroll Frequency]],Frequency[],2,0),"")</f>
        <v/>
      </c>
      <c r="I75" s="55">
        <f>IFERROR(Costing[[#This Row],[Payroll Hours/Month]]*Costing[[#This Row],[Payroll Rate]],0)</f>
        <v>0</v>
      </c>
      <c r="J75" s="54" t="s">
        <v>176</v>
      </c>
      <c r="K75" s="11" t="s">
        <v>118</v>
      </c>
      <c r="L75" s="11" t="s">
        <v>157</v>
      </c>
      <c r="M75" s="11">
        <v>15</v>
      </c>
      <c r="N75" s="22">
        <f>IFERROR(Costing[[#This Row],[Minutes/Super]]*Costing[[#This Row],[Super Factor]]/60,"")</f>
        <v>8.3333333333333329E-2</v>
      </c>
      <c r="O75" s="23">
        <f>IFERROR(VLOOKUP(Costing[[#This Row],[Super Team]],Staff_Info[],4,0),"")</f>
        <v>10</v>
      </c>
      <c r="P75" s="22">
        <f>IFERROR(VLOOKUP(Costing[[#This Row],[Super Frequency]],Frequency[],2,0),"")</f>
        <v>0.33333333333333331</v>
      </c>
      <c r="Q75" s="55">
        <f>IFERROR(Costing[[#This Row],[Super Hours/Month]]*Costing[[#This Row],[Super Rate]],0)</f>
        <v>0.83333333333333326</v>
      </c>
      <c r="R75" s="11" t="s">
        <v>177</v>
      </c>
      <c r="S75" s="11" t="s">
        <v>118</v>
      </c>
      <c r="T75" s="11" t="s">
        <v>183</v>
      </c>
      <c r="U75" s="11">
        <v>150</v>
      </c>
      <c r="V75" s="22">
        <f>IFERROR(Costing[[#This Row],[Minutes/Activity]]*Costing[[#This Row],[Bookkeeping Factor]]/60,"")</f>
        <v>2.5</v>
      </c>
      <c r="W75" s="23">
        <f>IFERROR(VLOOKUP(Costing[[#This Row],[Bookkeeping Team]],Staff_Info[],4,0),"")</f>
        <v>10</v>
      </c>
      <c r="X75" s="22">
        <f>IFERROR(VLOOKUP(Costing[[#This Row],[Bookkeeping Frequency]],Frequency[],2,0),"")</f>
        <v>1</v>
      </c>
      <c r="Y75" s="55">
        <f>IFERROR(Costing[[#This Row],[Bookkeeping Hours/Month]]*Costing[[#This Row],[Bookkeeping Rate]],0)</f>
        <v>25</v>
      </c>
      <c r="Z75" s="11" t="s">
        <v>178</v>
      </c>
      <c r="AA75" s="11" t="s">
        <v>119</v>
      </c>
      <c r="AB75" s="11" t="s">
        <v>183</v>
      </c>
      <c r="AC75" s="11">
        <v>20</v>
      </c>
      <c r="AD75" s="22">
        <f>IFERROR(Costing[[#This Row],[Minutes/Report]]*Costing[[#This Row],[Reporting Factor]]/60,"")</f>
        <v>0.33333333333333331</v>
      </c>
      <c r="AE75" s="23">
        <f>IFERROR(VLOOKUP(Costing[[#This Row],[Reporting Team]],Staff_Info[],4,0),"")</f>
        <v>50</v>
      </c>
      <c r="AF75" s="22">
        <f>IFERROR(VLOOKUP(Costing[[#This Row],[Reporting Frequency]],Frequency[],2,0),"")</f>
        <v>1</v>
      </c>
      <c r="AG75" s="55">
        <f>IFERROR(Costing[[#This Row],[Reporting Hours/Month]]*Costing[[#This Row],[Reporting Rate]],0)</f>
        <v>16.666666666666664</v>
      </c>
      <c r="AH75" s="11" t="s">
        <v>179</v>
      </c>
      <c r="AI75" s="11" t="s">
        <v>118</v>
      </c>
      <c r="AJ75" s="11" t="s">
        <v>157</v>
      </c>
      <c r="AK75" s="11">
        <v>60</v>
      </c>
      <c r="AL75" s="22">
        <f>IFERROR(Costing[[#This Row],[Minutes/BAS 1]]*Costing[[#This Row],[BAS 1 Factor]]/60,"")</f>
        <v>0.33333333333333331</v>
      </c>
      <c r="AM75" s="23">
        <f>IFERROR(VLOOKUP(Costing[[#This Row],[BAS 1 Team]],Staff_Info[],4,0),"")</f>
        <v>10</v>
      </c>
      <c r="AN75" s="22">
        <f>IFERROR(VLOOKUP(Costing[[#This Row],[BAS 1 Frequency]],Frequency[],2,0),"")</f>
        <v>0.33333333333333331</v>
      </c>
      <c r="AO75" s="55">
        <f>IFERROR(Costing[[#This Row],[BAS 1 Hours/Month]]*Costing[[#This Row],[BAS 1 Rate]],0)</f>
        <v>3.333333333333333</v>
      </c>
      <c r="AP75" s="11" t="s">
        <v>180</v>
      </c>
      <c r="AQ75" s="11" t="s">
        <v>117</v>
      </c>
      <c r="AR75" s="11" t="s">
        <v>157</v>
      </c>
      <c r="AS75" s="11">
        <v>15</v>
      </c>
      <c r="AT75" s="22">
        <f>IFERROR(Costing[[#This Row],[Minutes/BAS 2]]*Costing[[#This Row],[BAS 2 Factor]]/60,"")</f>
        <v>8.3333333333333329E-2</v>
      </c>
      <c r="AU75" s="23">
        <f>IFERROR(VLOOKUP(Costing[[#This Row],[BAS 2 Team]],Staff_Info[],4,0),"")</f>
        <v>30</v>
      </c>
      <c r="AV75" s="22">
        <f>IFERROR(VLOOKUP(Costing[[#This Row],[BAS 2 Frequency]],Frequency[],2,0),"")</f>
        <v>0.33333333333333331</v>
      </c>
      <c r="AW75" s="55">
        <f>IFERROR(Costing[[#This Row],[BAS 2 Hours/Month]]*Costing[[#This Row],[BAS 2 Rate]],0)</f>
        <v>2.5</v>
      </c>
      <c r="AX75" s="11"/>
      <c r="AY75" s="11"/>
      <c r="AZ75" s="11"/>
      <c r="BA75" s="11"/>
      <c r="BB75" s="22" t="str">
        <f>IFERROR(Costing[[#This Row],[Minutes/IAS]]*Costing[[#This Row],[IAS Factor]]/60,"")</f>
        <v/>
      </c>
      <c r="BC75" s="23" t="str">
        <f>IFERROR(VLOOKUP(Costing[[#This Row],[IAS Team]],Staff_Info[],4,0),"")</f>
        <v/>
      </c>
      <c r="BD75" s="22" t="str">
        <f>IFERROR(VLOOKUP(Costing[[#This Row],[IAS Frequency]],Frequency[],2,0),"")</f>
        <v/>
      </c>
      <c r="BE75" s="56">
        <f>IFERROR(Costing[[#This Row],[IAS Hours/Month]]*Costing[[#This Row],[IAS Rate]],0)</f>
        <v>0</v>
      </c>
      <c r="BF75" s="11" t="s">
        <v>182</v>
      </c>
      <c r="BG75" s="11" t="s">
        <v>119</v>
      </c>
      <c r="BH75" s="11">
        <v>120</v>
      </c>
      <c r="BI75" s="23">
        <f>IFERROR(VLOOKUP(Costing[[#This Row],[EOFY Team 1]],Staff_Info[],4,0),"")</f>
        <v>50</v>
      </c>
      <c r="BJ75" s="57">
        <f>Costing[[#This Row],[Time Min 1]]/12</f>
        <v>10</v>
      </c>
      <c r="BK75" s="11" t="s">
        <v>118</v>
      </c>
      <c r="BL75" s="11">
        <v>120</v>
      </c>
      <c r="BM75" s="23">
        <f>IFERROR(VLOOKUP(Costing[[#This Row],[EOFY Team 2]],Staff_Info[],4,0),"")</f>
        <v>10</v>
      </c>
      <c r="BN75" s="57">
        <f>Costing[[#This Row],[Time Min 2]]/12</f>
        <v>10</v>
      </c>
      <c r="BO75" s="55">
        <f>IFERROR((Costing[[#This Row],[EOFY 1 Min/Month]]/60*Costing[[#This Row],[EOFY Team 1 Rate]])+(Costing[[#This Row],[EOFY 2 Min/Month]]/60*Costing[[#This Row],[EOFY Team 2 Rate]]),0)</f>
        <v>9.9999999999999982</v>
      </c>
      <c r="BP75" s="11" t="s">
        <v>171</v>
      </c>
      <c r="BQ75" s="55">
        <f>IFERROR(VLOOKUP(Costing[[#This Row],[Software Name]],Software[],2,0),0)</f>
        <v>18.190000000000001</v>
      </c>
      <c r="BR75" s="59" t="s">
        <v>294</v>
      </c>
      <c r="BS75" s="11" t="s">
        <v>119</v>
      </c>
      <c r="BT75" s="60">
        <f>IF(Costing[[#This Row],[Minutes/Activity]]&gt;0,Costing[[#This Row],[Minutes/Activity]]*Costing[[#This Row],[Onboarding Factor]],"")</f>
        <v>892.5</v>
      </c>
      <c r="BU75" s="60">
        <f>IFERROR(Costing[[#This Row],[Onboarding Minutes]]/60,)</f>
        <v>14.875</v>
      </c>
      <c r="BV75" s="60">
        <f t="shared" si="4"/>
        <v>79.92</v>
      </c>
      <c r="BW75" s="61">
        <f>IFERROR(VLOOKUP(Costing[[#This Row],[Onboarding Team]],Staff_Info[],4,0),"")</f>
        <v>50</v>
      </c>
      <c r="BX75" s="60">
        <f t="shared" si="5"/>
        <v>5.95</v>
      </c>
      <c r="BY75" s="55">
        <f>IFERROR(Costing[[#This Row],[Onboarding Hours]]/Costing[[#This Row],[Client Life Expectancy (Months)]]*Costing[[#This Row],[Onboarding Rate]],0)</f>
        <v>9.3061811811811808</v>
      </c>
      <c r="BZ75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67.639514514514516</v>
      </c>
      <c r="CA75" s="27">
        <v>115</v>
      </c>
      <c r="CB75" s="63">
        <f>IFERROR((Costing[[#This Row],[Current Sales Price]]-Costing[[#This Row],[Total  Cost excl. Software]])/Costing[[#This Row],[Current Sales Price]],)</f>
        <v>0.41183030856943897</v>
      </c>
      <c r="CC75" s="64">
        <f>Costing[[#This Row],[Total  Cost excl. Software]]/(1-$CC$1)</f>
        <v>193.25575575575579</v>
      </c>
    </row>
    <row r="76" spans="1:81" x14ac:dyDescent="0.2">
      <c r="A76" s="11" t="s">
        <v>83</v>
      </c>
      <c r="B76" s="48"/>
      <c r="C76" s="17"/>
      <c r="D76" s="17"/>
      <c r="E76" s="17"/>
      <c r="F76" s="21" t="str">
        <f>IFERROR(Costing[[#This Row],[Minutes/Pay Run]]*Costing[[#This Row],[Payroll Factor]]/60,"")</f>
        <v/>
      </c>
      <c r="G76" s="54" t="str">
        <f>IFERROR(VLOOKUP(Costing[[#This Row],[Payroll Team]],Staff_Info[],4,0),"")</f>
        <v/>
      </c>
      <c r="H76" s="21" t="str">
        <f>IFERROR(VLOOKUP(Costing[[#This Row],[Payroll Frequency]],Frequency[],2,0),"")</f>
        <v/>
      </c>
      <c r="I76" s="55">
        <f>IFERROR(Costing[[#This Row],[Payroll Hours/Month]]*Costing[[#This Row],[Payroll Rate]],0)</f>
        <v>0</v>
      </c>
      <c r="J76" s="54"/>
      <c r="K76" s="11"/>
      <c r="L76" s="11"/>
      <c r="M76" s="11"/>
      <c r="N76" s="22" t="str">
        <f>IFERROR(Costing[[#This Row],[Minutes/Super]]*Costing[[#This Row],[Super Factor]]/60,"")</f>
        <v/>
      </c>
      <c r="O76" s="23" t="str">
        <f>IFERROR(VLOOKUP(Costing[[#This Row],[Super Team]],Staff_Info[],4,0),"")</f>
        <v/>
      </c>
      <c r="P76" s="22" t="str">
        <f>IFERROR(VLOOKUP(Costing[[#This Row],[Super Frequency]],Frequency[],2,0),"")</f>
        <v/>
      </c>
      <c r="Q76" s="55">
        <f>IFERROR(Costing[[#This Row],[Super Hours/Month]]*Costing[[#This Row],[Super Rate]],0)</f>
        <v>0</v>
      </c>
      <c r="R76" s="11" t="s">
        <v>177</v>
      </c>
      <c r="S76" s="11" t="s">
        <v>116</v>
      </c>
      <c r="T76" s="11" t="s">
        <v>183</v>
      </c>
      <c r="U76" s="11">
        <v>60</v>
      </c>
      <c r="V76" s="22">
        <f>IFERROR(Costing[[#This Row],[Minutes/Activity]]*Costing[[#This Row],[Bookkeeping Factor]]/60,"")</f>
        <v>1</v>
      </c>
      <c r="W76" s="23">
        <f>IFERROR(VLOOKUP(Costing[[#This Row],[Bookkeeping Team]],Staff_Info[],4,0),"")</f>
        <v>10</v>
      </c>
      <c r="X76" s="22">
        <f>IFERROR(VLOOKUP(Costing[[#This Row],[Bookkeeping Frequency]],Frequency[],2,0),"")</f>
        <v>1</v>
      </c>
      <c r="Y76" s="55">
        <f>IFERROR(Costing[[#This Row],[Bookkeeping Hours/Month]]*Costing[[#This Row],[Bookkeeping Rate]],0)</f>
        <v>10</v>
      </c>
      <c r="Z76" s="11" t="s">
        <v>178</v>
      </c>
      <c r="AA76" s="11" t="s">
        <v>119</v>
      </c>
      <c r="AB76" s="11" t="s">
        <v>183</v>
      </c>
      <c r="AC76" s="11">
        <v>10</v>
      </c>
      <c r="AD76" s="22">
        <f>IFERROR(Costing[[#This Row],[Minutes/Report]]*Costing[[#This Row],[Reporting Factor]]/60,"")</f>
        <v>0.16666666666666666</v>
      </c>
      <c r="AE76" s="23">
        <f>IFERROR(VLOOKUP(Costing[[#This Row],[Reporting Team]],Staff_Info[],4,0),"")</f>
        <v>50</v>
      </c>
      <c r="AF76" s="22">
        <f>IFERROR(VLOOKUP(Costing[[#This Row],[Reporting Frequency]],Frequency[],2,0),"")</f>
        <v>1</v>
      </c>
      <c r="AG76" s="55">
        <f>IFERROR(Costing[[#This Row],[Reporting Hours/Month]]*Costing[[#This Row],[Reporting Rate]],0)</f>
        <v>8.3333333333333321</v>
      </c>
      <c r="AH76" s="11" t="s">
        <v>179</v>
      </c>
      <c r="AI76" s="11" t="s">
        <v>116</v>
      </c>
      <c r="AJ76" s="11" t="s">
        <v>157</v>
      </c>
      <c r="AK76" s="11">
        <v>60</v>
      </c>
      <c r="AL76" s="22">
        <f>IFERROR(Costing[[#This Row],[Minutes/BAS 1]]*Costing[[#This Row],[BAS 1 Factor]]/60,"")</f>
        <v>0.33333333333333331</v>
      </c>
      <c r="AM76" s="23">
        <f>IFERROR(VLOOKUP(Costing[[#This Row],[BAS 1 Team]],Staff_Info[],4,0),"")</f>
        <v>10</v>
      </c>
      <c r="AN76" s="22">
        <f>IFERROR(VLOOKUP(Costing[[#This Row],[BAS 1 Frequency]],Frequency[],2,0),"")</f>
        <v>0.33333333333333331</v>
      </c>
      <c r="AO76" s="55">
        <f>IFERROR(Costing[[#This Row],[BAS 1 Hours/Month]]*Costing[[#This Row],[BAS 1 Rate]],0)</f>
        <v>3.333333333333333</v>
      </c>
      <c r="AP76" s="11" t="s">
        <v>180</v>
      </c>
      <c r="AQ76" s="11" t="s">
        <v>117</v>
      </c>
      <c r="AR76" s="11" t="s">
        <v>157</v>
      </c>
      <c r="AS76" s="11">
        <v>15</v>
      </c>
      <c r="AT76" s="22">
        <f>IFERROR(Costing[[#This Row],[Minutes/BAS 2]]*Costing[[#This Row],[BAS 2 Factor]]/60,"")</f>
        <v>8.3333333333333329E-2</v>
      </c>
      <c r="AU76" s="23">
        <f>IFERROR(VLOOKUP(Costing[[#This Row],[BAS 2 Team]],Staff_Info[],4,0),"")</f>
        <v>30</v>
      </c>
      <c r="AV76" s="22">
        <f>IFERROR(VLOOKUP(Costing[[#This Row],[BAS 2 Frequency]],Frequency[],2,0),"")</f>
        <v>0.33333333333333331</v>
      </c>
      <c r="AW76" s="55">
        <f>IFERROR(Costing[[#This Row],[BAS 2 Hours/Month]]*Costing[[#This Row],[BAS 2 Rate]],0)</f>
        <v>2.5</v>
      </c>
      <c r="AX76" s="11"/>
      <c r="AY76" s="11"/>
      <c r="AZ76" s="11"/>
      <c r="BA76" s="11"/>
      <c r="BB76" s="22" t="str">
        <f>IFERROR(Costing[[#This Row],[Minutes/IAS]]*Costing[[#This Row],[IAS Factor]]/60,"")</f>
        <v/>
      </c>
      <c r="BC76" s="23" t="str">
        <f>IFERROR(VLOOKUP(Costing[[#This Row],[IAS Team]],Staff_Info[],4,0),"")</f>
        <v/>
      </c>
      <c r="BD76" s="22" t="str">
        <f>IFERROR(VLOOKUP(Costing[[#This Row],[IAS Frequency]],Frequency[],2,0),"")</f>
        <v/>
      </c>
      <c r="BE76" s="56">
        <f>IFERROR(Costing[[#This Row],[IAS Hours/Month]]*Costing[[#This Row],[IAS Rate]],0)</f>
        <v>0</v>
      </c>
      <c r="BF76" s="11" t="s">
        <v>182</v>
      </c>
      <c r="BG76" s="11" t="s">
        <v>116</v>
      </c>
      <c r="BH76" s="11">
        <v>120</v>
      </c>
      <c r="BI76" s="23">
        <f>IFERROR(VLOOKUP(Costing[[#This Row],[EOFY Team 1]],Staff_Info[],4,0),"")</f>
        <v>10</v>
      </c>
      <c r="BJ76" s="57">
        <f>Costing[[#This Row],[Time Min 1]]/12</f>
        <v>10</v>
      </c>
      <c r="BK76" s="11" t="s">
        <v>119</v>
      </c>
      <c r="BL76" s="11">
        <v>120</v>
      </c>
      <c r="BM76" s="23">
        <f>IFERROR(VLOOKUP(Costing[[#This Row],[EOFY Team 2]],Staff_Info[],4,0),"")</f>
        <v>50</v>
      </c>
      <c r="BN76" s="57">
        <f>Costing[[#This Row],[Time Min 2]]/12</f>
        <v>10</v>
      </c>
      <c r="BO76" s="55">
        <f>IFERROR((Costing[[#This Row],[EOFY 1 Min/Month]]/60*Costing[[#This Row],[EOFY Team 1 Rate]])+(Costing[[#This Row],[EOFY 2 Min/Month]]/60*Costing[[#This Row],[EOFY Team 2 Rate]]),0)</f>
        <v>9.9999999999999982</v>
      </c>
      <c r="BP76" s="11" t="s">
        <v>163</v>
      </c>
      <c r="BQ76" s="55">
        <f>IFERROR(VLOOKUP(Costing[[#This Row],[Software Name]],Software[],2,0),0)</f>
        <v>36.36</v>
      </c>
      <c r="BR76" s="59" t="s">
        <v>294</v>
      </c>
      <c r="BS76" s="11" t="s">
        <v>119</v>
      </c>
      <c r="BT76" s="60">
        <f>IF(Costing[[#This Row],[Minutes/Activity]]&gt;0,Costing[[#This Row],[Minutes/Activity]]*Costing[[#This Row],[Onboarding Factor]],"")</f>
        <v>357</v>
      </c>
      <c r="BU76" s="60">
        <f>IFERROR(Costing[[#This Row],[Onboarding Minutes]]/60,)</f>
        <v>5.95</v>
      </c>
      <c r="BV76" s="60">
        <f t="shared" si="4"/>
        <v>79.92</v>
      </c>
      <c r="BW76" s="61">
        <f>IFERROR(VLOOKUP(Costing[[#This Row],[Onboarding Team]],Staff_Info[],4,0),"")</f>
        <v>50</v>
      </c>
      <c r="BX76" s="60">
        <f t="shared" si="5"/>
        <v>5.95</v>
      </c>
      <c r="BY76" s="55">
        <f>IFERROR(Costing[[#This Row],[Onboarding Hours]]/Costing[[#This Row],[Client Life Expectancy (Months)]]*Costing[[#This Row],[Onboarding Rate]],0)</f>
        <v>3.7224724724724725</v>
      </c>
      <c r="BZ76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37.889139139139139</v>
      </c>
      <c r="CA76" s="27">
        <v>90</v>
      </c>
      <c r="CB76" s="63">
        <f>IFERROR((Costing[[#This Row],[Current Sales Price]]-Costing[[#This Row],[Total  Cost excl. Software]])/Costing[[#This Row],[Current Sales Price]],)</f>
        <v>0.57900956512067625</v>
      </c>
      <c r="CC76" s="64">
        <f>Costing[[#This Row],[Total  Cost excl. Software]]/(1-$CC$1)</f>
        <v>108.25468325468326</v>
      </c>
    </row>
    <row r="77" spans="1:81" x14ac:dyDescent="0.2">
      <c r="A77" s="11" t="s">
        <v>81</v>
      </c>
      <c r="B77" s="48"/>
      <c r="C77" s="17"/>
      <c r="D77" s="17"/>
      <c r="E77" s="17"/>
      <c r="F77" s="21" t="str">
        <f>IFERROR(Costing[[#This Row],[Minutes/Pay Run]]*Costing[[#This Row],[Payroll Factor]]/60,"")</f>
        <v/>
      </c>
      <c r="G77" s="54" t="str">
        <f>IFERROR(VLOOKUP(Costing[[#This Row],[Payroll Team]],Staff_Info[],4,0),"")</f>
        <v/>
      </c>
      <c r="H77" s="21" t="str">
        <f>IFERROR(VLOOKUP(Costing[[#This Row],[Payroll Frequency]],Frequency[],2,0),"")</f>
        <v/>
      </c>
      <c r="I77" s="55">
        <f>IFERROR(Costing[[#This Row],[Payroll Hours/Month]]*Costing[[#This Row],[Payroll Rate]],0)</f>
        <v>0</v>
      </c>
      <c r="J77" s="54" t="s">
        <v>176</v>
      </c>
      <c r="K77" s="11" t="s">
        <v>115</v>
      </c>
      <c r="L77" s="11" t="s">
        <v>157</v>
      </c>
      <c r="M77" s="11">
        <v>30</v>
      </c>
      <c r="N77" s="22">
        <f>IFERROR(Costing[[#This Row],[Minutes/Super]]*Costing[[#This Row],[Super Factor]]/60,"")</f>
        <v>0.16666666666666666</v>
      </c>
      <c r="O77" s="23">
        <f>IFERROR(VLOOKUP(Costing[[#This Row],[Super Team]],Staff_Info[],4,0),"")</f>
        <v>10</v>
      </c>
      <c r="P77" s="22">
        <f>IFERROR(VLOOKUP(Costing[[#This Row],[Super Frequency]],Frequency[],2,0),"")</f>
        <v>0.33333333333333331</v>
      </c>
      <c r="Q77" s="55">
        <f>IFERROR(Costing[[#This Row],[Super Hours/Month]]*Costing[[#This Row],[Super Rate]],0)</f>
        <v>1.6666666666666665</v>
      </c>
      <c r="R77" s="11" t="s">
        <v>177</v>
      </c>
      <c r="S77" s="11" t="s">
        <v>115</v>
      </c>
      <c r="T77" s="11" t="s">
        <v>157</v>
      </c>
      <c r="U77" s="11">
        <v>75</v>
      </c>
      <c r="V77" s="22">
        <f>IFERROR(Costing[[#This Row],[Minutes/Activity]]*Costing[[#This Row],[Bookkeeping Factor]]/60,"")</f>
        <v>0.41666666666666669</v>
      </c>
      <c r="W77" s="23">
        <f>IFERROR(VLOOKUP(Costing[[#This Row],[Bookkeeping Team]],Staff_Info[],4,0),"")</f>
        <v>10</v>
      </c>
      <c r="X77" s="22">
        <f>IFERROR(VLOOKUP(Costing[[#This Row],[Bookkeeping Frequency]],Frequency[],2,0),"")</f>
        <v>0.33333333333333331</v>
      </c>
      <c r="Y77" s="55">
        <f>IFERROR(Costing[[#This Row],[Bookkeeping Hours/Month]]*Costing[[#This Row],[Bookkeeping Rate]],0)</f>
        <v>4.166666666666667</v>
      </c>
      <c r="Z77" s="11" t="s">
        <v>178</v>
      </c>
      <c r="AA77" s="11" t="s">
        <v>119</v>
      </c>
      <c r="AB77" s="11" t="s">
        <v>157</v>
      </c>
      <c r="AC77" s="11">
        <v>150</v>
      </c>
      <c r="AD77" s="22">
        <f>IFERROR(Costing[[#This Row],[Minutes/Report]]*Costing[[#This Row],[Reporting Factor]]/60,"")</f>
        <v>0.83333333333333337</v>
      </c>
      <c r="AE77" s="23">
        <f>IFERROR(VLOOKUP(Costing[[#This Row],[Reporting Team]],Staff_Info[],4,0),"")</f>
        <v>50</v>
      </c>
      <c r="AF77" s="22">
        <f>IFERROR(VLOOKUP(Costing[[#This Row],[Reporting Frequency]],Frequency[],2,0),"")</f>
        <v>0.33333333333333331</v>
      </c>
      <c r="AG77" s="55">
        <f>IFERROR(Costing[[#This Row],[Reporting Hours/Month]]*Costing[[#This Row],[Reporting Rate]],0)</f>
        <v>41.666666666666671</v>
      </c>
      <c r="AH77" s="11" t="s">
        <v>179</v>
      </c>
      <c r="AI77" s="11" t="s">
        <v>115</v>
      </c>
      <c r="AJ77" s="11" t="s">
        <v>157</v>
      </c>
      <c r="AK77" s="11">
        <v>60</v>
      </c>
      <c r="AL77" s="22">
        <f>IFERROR(Costing[[#This Row],[Minutes/BAS 1]]*Costing[[#This Row],[BAS 1 Factor]]/60,"")</f>
        <v>0.33333333333333331</v>
      </c>
      <c r="AM77" s="23">
        <f>IFERROR(VLOOKUP(Costing[[#This Row],[BAS 1 Team]],Staff_Info[],4,0),"")</f>
        <v>10</v>
      </c>
      <c r="AN77" s="22">
        <f>IFERROR(VLOOKUP(Costing[[#This Row],[BAS 1 Frequency]],Frequency[],2,0),"")</f>
        <v>0.33333333333333331</v>
      </c>
      <c r="AO77" s="55">
        <f>IFERROR(Costing[[#This Row],[BAS 1 Hours/Month]]*Costing[[#This Row],[BAS 1 Rate]],0)</f>
        <v>3.333333333333333</v>
      </c>
      <c r="AP77" s="11" t="s">
        <v>180</v>
      </c>
      <c r="AQ77" s="11" t="s">
        <v>117</v>
      </c>
      <c r="AR77" s="11" t="s">
        <v>157</v>
      </c>
      <c r="AS77" s="11">
        <v>15</v>
      </c>
      <c r="AT77" s="22">
        <f>IFERROR(Costing[[#This Row],[Minutes/BAS 2]]*Costing[[#This Row],[BAS 2 Factor]]/60,"")</f>
        <v>8.3333333333333329E-2</v>
      </c>
      <c r="AU77" s="23">
        <f>IFERROR(VLOOKUP(Costing[[#This Row],[BAS 2 Team]],Staff_Info[],4,0),"")</f>
        <v>30</v>
      </c>
      <c r="AV77" s="22">
        <f>IFERROR(VLOOKUP(Costing[[#This Row],[BAS 2 Frequency]],Frequency[],2,0),"")</f>
        <v>0.33333333333333331</v>
      </c>
      <c r="AW77" s="55">
        <f>IFERROR(Costing[[#This Row],[BAS 2 Hours/Month]]*Costing[[#This Row],[BAS 2 Rate]],0)</f>
        <v>2.5</v>
      </c>
      <c r="AX77" s="11"/>
      <c r="AY77" s="11"/>
      <c r="AZ77" s="11"/>
      <c r="BA77" s="11"/>
      <c r="BB77" s="22" t="str">
        <f>IFERROR(Costing[[#This Row],[Minutes/IAS]]*Costing[[#This Row],[IAS Factor]]/60,"")</f>
        <v/>
      </c>
      <c r="BC77" s="23" t="str">
        <f>IFERROR(VLOOKUP(Costing[[#This Row],[IAS Team]],Staff_Info[],4,0),"")</f>
        <v/>
      </c>
      <c r="BD77" s="22" t="str">
        <f>IFERROR(VLOOKUP(Costing[[#This Row],[IAS Frequency]],Frequency[],2,0),"")</f>
        <v/>
      </c>
      <c r="BE77" s="56">
        <f>IFERROR(Costing[[#This Row],[IAS Hours/Month]]*Costing[[#This Row],[IAS Rate]],0)</f>
        <v>0</v>
      </c>
      <c r="BF77" s="11" t="s">
        <v>182</v>
      </c>
      <c r="BG77" s="11" t="s">
        <v>115</v>
      </c>
      <c r="BH77" s="11">
        <v>60</v>
      </c>
      <c r="BI77" s="23">
        <f>IFERROR(VLOOKUP(Costing[[#This Row],[EOFY Team 1]],Staff_Info[],4,0),"")</f>
        <v>10</v>
      </c>
      <c r="BJ77" s="57">
        <f>Costing[[#This Row],[Time Min 1]]/12</f>
        <v>5</v>
      </c>
      <c r="BK77" s="11" t="s">
        <v>119</v>
      </c>
      <c r="BL77" s="11">
        <v>120</v>
      </c>
      <c r="BM77" s="23">
        <f>IFERROR(VLOOKUP(Costing[[#This Row],[EOFY Team 2]],Staff_Info[],4,0),"")</f>
        <v>50</v>
      </c>
      <c r="BN77" s="57">
        <f>Costing[[#This Row],[Time Min 2]]/12</f>
        <v>10</v>
      </c>
      <c r="BO77" s="55">
        <f>IFERROR((Costing[[#This Row],[EOFY 1 Min/Month]]/60*Costing[[#This Row],[EOFY Team 1 Rate]])+(Costing[[#This Row],[EOFY 2 Min/Month]]/60*Costing[[#This Row],[EOFY Team 2 Rate]]),0)</f>
        <v>9.1666666666666661</v>
      </c>
      <c r="BP77" s="11" t="s">
        <v>171</v>
      </c>
      <c r="BQ77" s="55">
        <f>IFERROR(VLOOKUP(Costing[[#This Row],[Software Name]],Software[],2,0),0)</f>
        <v>18.190000000000001</v>
      </c>
      <c r="BR77" s="59" t="s">
        <v>294</v>
      </c>
      <c r="BS77" s="11" t="s">
        <v>119</v>
      </c>
      <c r="BT77" s="60">
        <f>IF(Costing[[#This Row],[Minutes/Activity]]&gt;0,Costing[[#This Row],[Minutes/Activity]]*Costing[[#This Row],[Onboarding Factor]],"")</f>
        <v>446.25</v>
      </c>
      <c r="BU77" s="60">
        <f>IFERROR(Costing[[#This Row],[Onboarding Minutes]]/60,)</f>
        <v>7.4375</v>
      </c>
      <c r="BV77" s="60">
        <f t="shared" si="4"/>
        <v>79.92</v>
      </c>
      <c r="BW77" s="61">
        <f>IFERROR(VLOOKUP(Costing[[#This Row],[Onboarding Team]],Staff_Info[],4,0),"")</f>
        <v>50</v>
      </c>
      <c r="BX77" s="60">
        <f t="shared" si="5"/>
        <v>5.95</v>
      </c>
      <c r="BY77" s="55">
        <f>IFERROR(Costing[[#This Row],[Onboarding Hours]]/Costing[[#This Row],[Client Life Expectancy (Months)]]*Costing[[#This Row],[Onboarding Rate]],0)</f>
        <v>4.6530905905905904</v>
      </c>
      <c r="BZ77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67.153090590590594</v>
      </c>
      <c r="CA77" s="27">
        <v>136.5</v>
      </c>
      <c r="CB77" s="63">
        <f>IFERROR((Costing[[#This Row],[Current Sales Price]]-Costing[[#This Row],[Total  Cost excl. Software]])/Costing[[#This Row],[Current Sales Price]],)</f>
        <v>0.50803596636929971</v>
      </c>
      <c r="CC77" s="64">
        <f>Costing[[#This Row],[Total  Cost excl. Software]]/(1-$CC$1)</f>
        <v>191.86597311597313</v>
      </c>
    </row>
    <row r="78" spans="1:81" x14ac:dyDescent="0.2">
      <c r="A78" s="11" t="s">
        <v>82</v>
      </c>
      <c r="B78" s="48" t="s">
        <v>145</v>
      </c>
      <c r="C78" s="17" t="s">
        <v>118</v>
      </c>
      <c r="D78" s="17" t="s">
        <v>183</v>
      </c>
      <c r="E78" s="17">
        <v>10</v>
      </c>
      <c r="F78" s="21">
        <f>IFERROR(Costing[[#This Row],[Minutes/Pay Run]]*Costing[[#This Row],[Payroll Factor]]/60,"")</f>
        <v>0.16666666666666666</v>
      </c>
      <c r="G78" s="54">
        <f>IFERROR(VLOOKUP(Costing[[#This Row],[Payroll Team]],Staff_Info[],4,0),"")</f>
        <v>10</v>
      </c>
      <c r="H78" s="21">
        <f>IFERROR(VLOOKUP(Costing[[#This Row],[Payroll Frequency]],Frequency[],2,0),"")</f>
        <v>1</v>
      </c>
      <c r="I78" s="55">
        <f>IFERROR(Costing[[#This Row],[Payroll Hours/Month]]*Costing[[#This Row],[Payroll Rate]],0)</f>
        <v>1.6666666666666665</v>
      </c>
      <c r="J78" s="54" t="s">
        <v>176</v>
      </c>
      <c r="K78" s="11" t="s">
        <v>118</v>
      </c>
      <c r="L78" s="11" t="s">
        <v>157</v>
      </c>
      <c r="M78" s="11">
        <v>15</v>
      </c>
      <c r="N78" s="22">
        <f>IFERROR(Costing[[#This Row],[Minutes/Super]]*Costing[[#This Row],[Super Factor]]/60,"")</f>
        <v>8.3333333333333329E-2</v>
      </c>
      <c r="O78" s="23">
        <f>IFERROR(VLOOKUP(Costing[[#This Row],[Super Team]],Staff_Info[],4,0),"")</f>
        <v>10</v>
      </c>
      <c r="P78" s="22">
        <f>IFERROR(VLOOKUP(Costing[[#This Row],[Super Frequency]],Frequency[],2,0),"")</f>
        <v>0.33333333333333331</v>
      </c>
      <c r="Q78" s="55">
        <f>IFERROR(Costing[[#This Row],[Super Hours/Month]]*Costing[[#This Row],[Super Rate]],0)</f>
        <v>0.83333333333333326</v>
      </c>
      <c r="R78" s="11" t="s">
        <v>177</v>
      </c>
      <c r="S78" s="11" t="s">
        <v>116</v>
      </c>
      <c r="T78" s="11" t="s">
        <v>183</v>
      </c>
      <c r="U78" s="11">
        <v>60</v>
      </c>
      <c r="V78" s="22">
        <f>IFERROR(Costing[[#This Row],[Minutes/Activity]]*Costing[[#This Row],[Bookkeeping Factor]]/60,"")</f>
        <v>1</v>
      </c>
      <c r="W78" s="23">
        <f>IFERROR(VLOOKUP(Costing[[#This Row],[Bookkeeping Team]],Staff_Info[],4,0),"")</f>
        <v>10</v>
      </c>
      <c r="X78" s="22">
        <f>IFERROR(VLOOKUP(Costing[[#This Row],[Bookkeeping Frequency]],Frequency[],2,0),"")</f>
        <v>1</v>
      </c>
      <c r="Y78" s="55">
        <f>IFERROR(Costing[[#This Row],[Bookkeeping Hours/Month]]*Costing[[#This Row],[Bookkeeping Rate]],0)</f>
        <v>10</v>
      </c>
      <c r="Z78" s="11" t="s">
        <v>178</v>
      </c>
      <c r="AA78" s="11" t="s">
        <v>119</v>
      </c>
      <c r="AB78" s="11" t="s">
        <v>183</v>
      </c>
      <c r="AC78" s="11">
        <v>10</v>
      </c>
      <c r="AD78" s="22">
        <f>IFERROR(Costing[[#This Row],[Minutes/Report]]*Costing[[#This Row],[Reporting Factor]]/60,"")</f>
        <v>0.16666666666666666</v>
      </c>
      <c r="AE78" s="23">
        <f>IFERROR(VLOOKUP(Costing[[#This Row],[Reporting Team]],Staff_Info[],4,0),"")</f>
        <v>50</v>
      </c>
      <c r="AF78" s="22">
        <f>IFERROR(VLOOKUP(Costing[[#This Row],[Reporting Frequency]],Frequency[],2,0),"")</f>
        <v>1</v>
      </c>
      <c r="AG78" s="55">
        <f>IFERROR(Costing[[#This Row],[Reporting Hours/Month]]*Costing[[#This Row],[Reporting Rate]],0)</f>
        <v>8.3333333333333321</v>
      </c>
      <c r="AH78" s="11" t="s">
        <v>179</v>
      </c>
      <c r="AI78" s="11" t="s">
        <v>116</v>
      </c>
      <c r="AJ78" s="11" t="s">
        <v>157</v>
      </c>
      <c r="AK78" s="11">
        <v>60</v>
      </c>
      <c r="AL78" s="22">
        <f>IFERROR(Costing[[#This Row],[Minutes/BAS 1]]*Costing[[#This Row],[BAS 1 Factor]]/60,"")</f>
        <v>0.33333333333333331</v>
      </c>
      <c r="AM78" s="23">
        <f>IFERROR(VLOOKUP(Costing[[#This Row],[BAS 1 Team]],Staff_Info[],4,0),"")</f>
        <v>10</v>
      </c>
      <c r="AN78" s="22">
        <f>IFERROR(VLOOKUP(Costing[[#This Row],[BAS 1 Frequency]],Frequency[],2,0),"")</f>
        <v>0.33333333333333331</v>
      </c>
      <c r="AO78" s="55">
        <f>IFERROR(Costing[[#This Row],[BAS 1 Hours/Month]]*Costing[[#This Row],[BAS 1 Rate]],0)</f>
        <v>3.333333333333333</v>
      </c>
      <c r="AP78" s="11" t="s">
        <v>180</v>
      </c>
      <c r="AQ78" s="11" t="s">
        <v>117</v>
      </c>
      <c r="AR78" s="11" t="s">
        <v>157</v>
      </c>
      <c r="AS78" s="11">
        <v>15</v>
      </c>
      <c r="AT78" s="22">
        <f>IFERROR(Costing[[#This Row],[Minutes/BAS 2]]*Costing[[#This Row],[BAS 2 Factor]]/60,"")</f>
        <v>8.3333333333333329E-2</v>
      </c>
      <c r="AU78" s="23">
        <f>IFERROR(VLOOKUP(Costing[[#This Row],[BAS 2 Team]],Staff_Info[],4,0),"")</f>
        <v>30</v>
      </c>
      <c r="AV78" s="22">
        <f>IFERROR(VLOOKUP(Costing[[#This Row],[BAS 2 Frequency]],Frequency[],2,0),"")</f>
        <v>0.33333333333333331</v>
      </c>
      <c r="AW78" s="55">
        <f>IFERROR(Costing[[#This Row],[BAS 2 Hours/Month]]*Costing[[#This Row],[BAS 2 Rate]],0)</f>
        <v>2.5</v>
      </c>
      <c r="AX78" s="11"/>
      <c r="AY78" s="11"/>
      <c r="AZ78" s="11"/>
      <c r="BA78" s="11"/>
      <c r="BB78" s="22" t="str">
        <f>IFERROR(Costing[[#This Row],[Minutes/IAS]]*Costing[[#This Row],[IAS Factor]]/60,"")</f>
        <v/>
      </c>
      <c r="BC78" s="23" t="str">
        <f>IFERROR(VLOOKUP(Costing[[#This Row],[IAS Team]],Staff_Info[],4,0),"")</f>
        <v/>
      </c>
      <c r="BD78" s="22" t="str">
        <f>IFERROR(VLOOKUP(Costing[[#This Row],[IAS Frequency]],Frequency[],2,0),"")</f>
        <v/>
      </c>
      <c r="BE78" s="56">
        <f>IFERROR(Costing[[#This Row],[IAS Hours/Month]]*Costing[[#This Row],[IAS Rate]],0)</f>
        <v>0</v>
      </c>
      <c r="BF78" s="11" t="s">
        <v>182</v>
      </c>
      <c r="BG78" s="11" t="s">
        <v>118</v>
      </c>
      <c r="BH78" s="11">
        <v>120</v>
      </c>
      <c r="BI78" s="23">
        <f>IFERROR(VLOOKUP(Costing[[#This Row],[EOFY Team 1]],Staff_Info[],4,0),"")</f>
        <v>10</v>
      </c>
      <c r="BJ78" s="57">
        <f>Costing[[#This Row],[Time Min 1]]/12</f>
        <v>10</v>
      </c>
      <c r="BK78" s="11" t="s">
        <v>119</v>
      </c>
      <c r="BL78" s="11">
        <v>120</v>
      </c>
      <c r="BM78" s="23">
        <f>IFERROR(VLOOKUP(Costing[[#This Row],[EOFY Team 2]],Staff_Info[],4,0),"")</f>
        <v>50</v>
      </c>
      <c r="BN78" s="57">
        <f>Costing[[#This Row],[Time Min 2]]/12</f>
        <v>10</v>
      </c>
      <c r="BO78" s="55">
        <f>IFERROR((Costing[[#This Row],[EOFY 1 Min/Month]]/60*Costing[[#This Row],[EOFY Team 1 Rate]])+(Costing[[#This Row],[EOFY 2 Min/Month]]/60*Costing[[#This Row],[EOFY Team 2 Rate]]),0)</f>
        <v>9.9999999999999982</v>
      </c>
      <c r="BP78" s="11" t="s">
        <v>163</v>
      </c>
      <c r="BQ78" s="55">
        <f>IFERROR(VLOOKUP(Costing[[#This Row],[Software Name]],Software[],2,0),0)</f>
        <v>36.36</v>
      </c>
      <c r="BR78" s="59" t="s">
        <v>294</v>
      </c>
      <c r="BS78" s="11" t="s">
        <v>119</v>
      </c>
      <c r="BT78" s="60">
        <f>IF(Costing[[#This Row],[Minutes/Activity]]&gt;0,Costing[[#This Row],[Minutes/Activity]]*Costing[[#This Row],[Onboarding Factor]],"")</f>
        <v>357</v>
      </c>
      <c r="BU78" s="60">
        <f>IFERROR(Costing[[#This Row],[Onboarding Minutes]]/60,)</f>
        <v>5.95</v>
      </c>
      <c r="BV78" s="60">
        <f t="shared" si="4"/>
        <v>79.92</v>
      </c>
      <c r="BW78" s="61">
        <f>IFERROR(VLOOKUP(Costing[[#This Row],[Onboarding Team]],Staff_Info[],4,0),"")</f>
        <v>50</v>
      </c>
      <c r="BX78" s="60">
        <f t="shared" si="5"/>
        <v>5.95</v>
      </c>
      <c r="BY78" s="55">
        <f>IFERROR(Costing[[#This Row],[Onboarding Hours]]/Costing[[#This Row],[Client Life Expectancy (Months)]]*Costing[[#This Row],[Onboarding Rate]],0)</f>
        <v>3.7224724724724725</v>
      </c>
      <c r="BZ78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40.389139139139139</v>
      </c>
      <c r="CA78" s="27">
        <v>129</v>
      </c>
      <c r="CB78" s="63">
        <f>IFERROR((Costing[[#This Row],[Current Sales Price]]-Costing[[#This Row],[Total  Cost excl. Software]])/Costing[[#This Row],[Current Sales Price]],)</f>
        <v>0.68690589814620828</v>
      </c>
      <c r="CC78" s="64">
        <f>Costing[[#This Row],[Total  Cost excl. Software]]/(1-$CC$1)</f>
        <v>115.39754039754041</v>
      </c>
    </row>
    <row r="79" spans="1:81" x14ac:dyDescent="0.2">
      <c r="A79" s="11" t="s">
        <v>280</v>
      </c>
      <c r="B79" s="48" t="s">
        <v>145</v>
      </c>
      <c r="C79" s="17" t="s">
        <v>118</v>
      </c>
      <c r="D79" s="17" t="s">
        <v>154</v>
      </c>
      <c r="E79" s="17">
        <v>25</v>
      </c>
      <c r="F79" s="21">
        <f>IFERROR(Costing[[#This Row],[Minutes/Pay Run]]*Costing[[#This Row],[Payroll Factor]]/60,"")</f>
        <v>1.8055555555555556</v>
      </c>
      <c r="G79" s="54">
        <f>IFERROR(VLOOKUP(Costing[[#This Row],[Payroll Team]],Staff_Info[],4,0),"")</f>
        <v>10</v>
      </c>
      <c r="H79" s="21">
        <f>IFERROR(VLOOKUP(Costing[[#This Row],[Payroll Frequency]],Frequency[],2,0),"")</f>
        <v>4.333333333333333</v>
      </c>
      <c r="I79" s="55">
        <f>IFERROR(Costing[[#This Row],[Payroll Hours/Month]]*Costing[[#This Row],[Payroll Rate]],0)</f>
        <v>18.055555555555557</v>
      </c>
      <c r="J79" s="54" t="s">
        <v>176</v>
      </c>
      <c r="K79" s="11" t="s">
        <v>118</v>
      </c>
      <c r="L79" s="11" t="s">
        <v>157</v>
      </c>
      <c r="M79" s="11">
        <v>20</v>
      </c>
      <c r="N79" s="22">
        <f>IFERROR(Costing[[#This Row],[Minutes/Super]]*Costing[[#This Row],[Super Factor]]/60,"")</f>
        <v>0.1111111111111111</v>
      </c>
      <c r="O79" s="23">
        <f>IFERROR(VLOOKUP(Costing[[#This Row],[Super Team]],Staff_Info[],4,0),"")</f>
        <v>10</v>
      </c>
      <c r="P79" s="22">
        <f>IFERROR(VLOOKUP(Costing[[#This Row],[Super Frequency]],Frequency[],2,0),"")</f>
        <v>0.33333333333333331</v>
      </c>
      <c r="Q79" s="55">
        <f>IFERROR(Costing[[#This Row],[Super Hours/Month]]*Costing[[#This Row],[Super Rate]],0)</f>
        <v>1.1111111111111112</v>
      </c>
      <c r="R79" s="11" t="s">
        <v>177</v>
      </c>
      <c r="S79" s="11" t="s">
        <v>118</v>
      </c>
      <c r="T79" s="11" t="s">
        <v>183</v>
      </c>
      <c r="U79" s="11">
        <v>480</v>
      </c>
      <c r="V79" s="22">
        <f>IFERROR(Costing[[#This Row],[Minutes/Activity]]*Costing[[#This Row],[Bookkeeping Factor]]/60,"")</f>
        <v>8</v>
      </c>
      <c r="W79" s="23">
        <f>IFERROR(VLOOKUP(Costing[[#This Row],[Bookkeeping Team]],Staff_Info[],4,0),"")</f>
        <v>10</v>
      </c>
      <c r="X79" s="22">
        <f>IFERROR(VLOOKUP(Costing[[#This Row],[Bookkeeping Frequency]],Frequency[],2,0),"")</f>
        <v>1</v>
      </c>
      <c r="Y79" s="55">
        <f>IFERROR(Costing[[#This Row],[Bookkeeping Hours/Month]]*Costing[[#This Row],[Bookkeeping Rate]],0)</f>
        <v>80</v>
      </c>
      <c r="Z79" s="11" t="s">
        <v>178</v>
      </c>
      <c r="AA79" s="11" t="s">
        <v>126</v>
      </c>
      <c r="AB79" s="11" t="s">
        <v>183</v>
      </c>
      <c r="AC79" s="11">
        <v>20</v>
      </c>
      <c r="AD79" s="22">
        <f>IFERROR(Costing[[#This Row],[Minutes/Report]]*Costing[[#This Row],[Reporting Factor]]/60,"")</f>
        <v>0.33333333333333331</v>
      </c>
      <c r="AE79" s="23">
        <f>IFERROR(VLOOKUP(Costing[[#This Row],[Reporting Team]],Staff_Info[],4,0),"")</f>
        <v>50</v>
      </c>
      <c r="AF79" s="22">
        <f>IFERROR(VLOOKUP(Costing[[#This Row],[Reporting Frequency]],Frequency[],2,0),"")</f>
        <v>1</v>
      </c>
      <c r="AG79" s="55">
        <f>IFERROR(Costing[[#This Row],[Reporting Hours/Month]]*Costing[[#This Row],[Reporting Rate]],0)</f>
        <v>16.666666666666664</v>
      </c>
      <c r="AH79" s="11" t="s">
        <v>179</v>
      </c>
      <c r="AI79" s="11" t="s">
        <v>118</v>
      </c>
      <c r="AJ79" s="11" t="s">
        <v>157</v>
      </c>
      <c r="AK79" s="11">
        <v>60</v>
      </c>
      <c r="AL79" s="22">
        <f>IFERROR(Costing[[#This Row],[Minutes/BAS 1]]*Costing[[#This Row],[BAS 1 Factor]]/60,"")</f>
        <v>0.33333333333333331</v>
      </c>
      <c r="AM79" s="23">
        <f>IFERROR(VLOOKUP(Costing[[#This Row],[BAS 1 Team]],Staff_Info[],4,0),"")</f>
        <v>10</v>
      </c>
      <c r="AN79" s="22">
        <f>IFERROR(VLOOKUP(Costing[[#This Row],[BAS 1 Frequency]],Frequency[],2,0),"")</f>
        <v>0.33333333333333331</v>
      </c>
      <c r="AO79" s="55">
        <f>IFERROR(Costing[[#This Row],[BAS 1 Hours/Month]]*Costing[[#This Row],[BAS 1 Rate]],0)</f>
        <v>3.333333333333333</v>
      </c>
      <c r="AP79" s="11" t="s">
        <v>180</v>
      </c>
      <c r="AQ79" s="11" t="s">
        <v>117</v>
      </c>
      <c r="AR79" s="11" t="s">
        <v>157</v>
      </c>
      <c r="AS79" s="11">
        <v>15</v>
      </c>
      <c r="AT79" s="22">
        <f>IFERROR(Costing[[#This Row],[Minutes/BAS 2]]*Costing[[#This Row],[BAS 2 Factor]]/60,"")</f>
        <v>8.3333333333333329E-2</v>
      </c>
      <c r="AU79" s="23">
        <f>IFERROR(VLOOKUP(Costing[[#This Row],[BAS 2 Team]],Staff_Info[],4,0),"")</f>
        <v>30</v>
      </c>
      <c r="AV79" s="22">
        <f>IFERROR(VLOOKUP(Costing[[#This Row],[BAS 2 Frequency]],Frequency[],2,0),"")</f>
        <v>0.33333333333333331</v>
      </c>
      <c r="AW79" s="55">
        <f>IFERROR(Costing[[#This Row],[BAS 2 Hours/Month]]*Costing[[#This Row],[BAS 2 Rate]],0)</f>
        <v>2.5</v>
      </c>
      <c r="AX79" s="11" t="s">
        <v>181</v>
      </c>
      <c r="AY79" s="11" t="s">
        <v>117</v>
      </c>
      <c r="AZ79" s="11" t="s">
        <v>183</v>
      </c>
      <c r="BA79" s="11">
        <v>30</v>
      </c>
      <c r="BB79" s="22">
        <f>IFERROR(Costing[[#This Row],[Minutes/IAS]]*Costing[[#This Row],[IAS Factor]]/60,"")</f>
        <v>0.5</v>
      </c>
      <c r="BC79" s="23">
        <f>IFERROR(VLOOKUP(Costing[[#This Row],[IAS Team]],Staff_Info[],4,0),"")</f>
        <v>30</v>
      </c>
      <c r="BD79" s="22">
        <f>IFERROR(VLOOKUP(Costing[[#This Row],[IAS Frequency]],Frequency[],2,0),"")</f>
        <v>1</v>
      </c>
      <c r="BE79" s="56">
        <f>IFERROR(Costing[[#This Row],[IAS Hours/Month]]*Costing[[#This Row],[IAS Rate]],0)</f>
        <v>15</v>
      </c>
      <c r="BF79" s="11" t="s">
        <v>182</v>
      </c>
      <c r="BG79" s="11" t="s">
        <v>126</v>
      </c>
      <c r="BH79" s="11">
        <v>120</v>
      </c>
      <c r="BI79" s="23">
        <f>IFERROR(VLOOKUP(Costing[[#This Row],[EOFY Team 1]],Staff_Info[],4,0),"")</f>
        <v>50</v>
      </c>
      <c r="BJ79" s="57">
        <f>Costing[[#This Row],[Time Min 1]]/12</f>
        <v>10</v>
      </c>
      <c r="BK79" s="11" t="s">
        <v>118</v>
      </c>
      <c r="BL79" s="11">
        <v>120</v>
      </c>
      <c r="BM79" s="23">
        <f>IFERROR(VLOOKUP(Costing[[#This Row],[EOFY Team 2]],Staff_Info[],4,0),"")</f>
        <v>10</v>
      </c>
      <c r="BN79" s="57">
        <f>Costing[[#This Row],[Time Min 2]]/12</f>
        <v>10</v>
      </c>
      <c r="BO79" s="55">
        <f>IFERROR((Costing[[#This Row],[EOFY 1 Min/Month]]/60*Costing[[#This Row],[EOFY Team 1 Rate]])+(Costing[[#This Row],[EOFY 2 Min/Month]]/60*Costing[[#This Row],[EOFY Team 2 Rate]]),0)</f>
        <v>9.9999999999999982</v>
      </c>
      <c r="BP79" s="11" t="s">
        <v>166</v>
      </c>
      <c r="BQ79" s="55">
        <f>IFERROR(VLOOKUP(Costing[[#This Row],[Software Name]],Software[],2,0),0)</f>
        <v>65.459999999999994</v>
      </c>
      <c r="BR79" s="59" t="s">
        <v>294</v>
      </c>
      <c r="BS79" s="11" t="s">
        <v>126</v>
      </c>
      <c r="BT79" s="60">
        <f>IF(Costing[[#This Row],[Minutes/Activity]]&gt;0,Costing[[#This Row],[Minutes/Activity]]*Costing[[#This Row],[Onboarding Factor]],"")</f>
        <v>2856</v>
      </c>
      <c r="BU79" s="60">
        <f>IFERROR(Costing[[#This Row],[Onboarding Minutes]]/60,)</f>
        <v>47.6</v>
      </c>
      <c r="BV79" s="60">
        <f t="shared" si="4"/>
        <v>79.92</v>
      </c>
      <c r="BW79" s="61">
        <f>IFERROR(VLOOKUP(Costing[[#This Row],[Onboarding Team]],Staff_Info[],4,0),"")</f>
        <v>50</v>
      </c>
      <c r="BX79" s="60">
        <f t="shared" si="5"/>
        <v>5.95</v>
      </c>
      <c r="BY79" s="55">
        <f>IFERROR(Costing[[#This Row],[Onboarding Hours]]/Costing[[#This Row],[Client Life Expectancy (Months)]]*Costing[[#This Row],[Onboarding Rate]],0)</f>
        <v>29.77977977977978</v>
      </c>
      <c r="BZ79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176.44644644644646</v>
      </c>
      <c r="CA79" s="27">
        <v>637.5</v>
      </c>
      <c r="CB79" s="63">
        <f>IFERROR((Costing[[#This Row],[Current Sales Price]]-Costing[[#This Row],[Total  Cost excl. Software]])/Costing[[#This Row],[Current Sales Price]],)</f>
        <v>0.72322126047616242</v>
      </c>
      <c r="CC79" s="64">
        <f>Costing[[#This Row],[Total  Cost excl. Software]]/(1-$CC$1)</f>
        <v>504.13270413270419</v>
      </c>
    </row>
    <row r="80" spans="1:81" x14ac:dyDescent="0.2">
      <c r="A80" s="11" t="s">
        <v>84</v>
      </c>
      <c r="B80" s="48" t="s">
        <v>145</v>
      </c>
      <c r="C80" s="17" t="s">
        <v>117</v>
      </c>
      <c r="D80" s="17" t="s">
        <v>155</v>
      </c>
      <c r="E80" s="17">
        <v>10</v>
      </c>
      <c r="F80" s="21">
        <f>IFERROR(Costing[[#This Row],[Minutes/Pay Run]]*Costing[[#This Row],[Payroll Factor]]/60,"")</f>
        <v>0.36111111111111105</v>
      </c>
      <c r="G80" s="54">
        <f>IFERROR(VLOOKUP(Costing[[#This Row],[Payroll Team]],Staff_Info[],4,0),"")</f>
        <v>30</v>
      </c>
      <c r="H80" s="21">
        <f>IFERROR(VLOOKUP(Costing[[#This Row],[Payroll Frequency]],Frequency[],2,0),"")</f>
        <v>2.1666666666666665</v>
      </c>
      <c r="I80" s="55">
        <f>IFERROR(Costing[[#This Row],[Payroll Hours/Month]]*Costing[[#This Row],[Payroll Rate]],0)</f>
        <v>10.833333333333332</v>
      </c>
      <c r="J80" s="54" t="s">
        <v>176</v>
      </c>
      <c r="K80" s="11" t="s">
        <v>117</v>
      </c>
      <c r="L80" s="11" t="s">
        <v>157</v>
      </c>
      <c r="M80" s="11">
        <v>10</v>
      </c>
      <c r="N80" s="22">
        <f>IFERROR(Costing[[#This Row],[Minutes/Super]]*Costing[[#This Row],[Super Factor]]/60,"")</f>
        <v>5.5555555555555552E-2</v>
      </c>
      <c r="O80" s="23">
        <f>IFERROR(VLOOKUP(Costing[[#This Row],[Super Team]],Staff_Info[],4,0),"")</f>
        <v>30</v>
      </c>
      <c r="P80" s="22">
        <f>IFERROR(VLOOKUP(Costing[[#This Row],[Super Frequency]],Frequency[],2,0),"")</f>
        <v>0.33333333333333331</v>
      </c>
      <c r="Q80" s="55">
        <f>IFERROR(Costing[[#This Row],[Super Hours/Month]]*Costing[[#This Row],[Super Rate]],0)</f>
        <v>1.6666666666666665</v>
      </c>
      <c r="R80" s="11" t="s">
        <v>177</v>
      </c>
      <c r="S80" s="11" t="s">
        <v>117</v>
      </c>
      <c r="T80" s="11" t="s">
        <v>183</v>
      </c>
      <c r="U80" s="11">
        <v>206</v>
      </c>
      <c r="V80" s="22">
        <f>IFERROR(Costing[[#This Row],[Minutes/Activity]]*Costing[[#This Row],[Bookkeeping Factor]]/60,"")</f>
        <v>3.4333333333333331</v>
      </c>
      <c r="W80" s="23">
        <f>IFERROR(VLOOKUP(Costing[[#This Row],[Bookkeeping Team]],Staff_Info[],4,0),"")</f>
        <v>30</v>
      </c>
      <c r="X80" s="22">
        <f>IFERROR(VLOOKUP(Costing[[#This Row],[Bookkeeping Frequency]],Frequency[],2,0),"")</f>
        <v>1</v>
      </c>
      <c r="Y80" s="55">
        <f>IFERROR(Costing[[#This Row],[Bookkeeping Hours/Month]]*Costing[[#This Row],[Bookkeeping Rate]],0)</f>
        <v>103</v>
      </c>
      <c r="Z80" s="11" t="s">
        <v>178</v>
      </c>
      <c r="AA80" s="11" t="s">
        <v>126</v>
      </c>
      <c r="AB80" s="11" t="s">
        <v>183</v>
      </c>
      <c r="AC80" s="11">
        <v>20</v>
      </c>
      <c r="AD80" s="22">
        <f>IFERROR(Costing[[#This Row],[Minutes/Report]]*Costing[[#This Row],[Reporting Factor]]/60,"")</f>
        <v>0.33333333333333331</v>
      </c>
      <c r="AE80" s="23">
        <f>IFERROR(VLOOKUP(Costing[[#This Row],[Reporting Team]],Staff_Info[],4,0),"")</f>
        <v>50</v>
      </c>
      <c r="AF80" s="22">
        <f>IFERROR(VLOOKUP(Costing[[#This Row],[Reporting Frequency]],Frequency[],2,0),"")</f>
        <v>1</v>
      </c>
      <c r="AG80" s="55">
        <f>IFERROR(Costing[[#This Row],[Reporting Hours/Month]]*Costing[[#This Row],[Reporting Rate]],0)</f>
        <v>16.666666666666664</v>
      </c>
      <c r="AH80" s="11" t="s">
        <v>179</v>
      </c>
      <c r="AI80" s="11" t="s">
        <v>117</v>
      </c>
      <c r="AJ80" s="11" t="s">
        <v>157</v>
      </c>
      <c r="AK80" s="11">
        <v>60</v>
      </c>
      <c r="AL80" s="22">
        <f>IFERROR(Costing[[#This Row],[Minutes/BAS 1]]*Costing[[#This Row],[BAS 1 Factor]]/60,"")</f>
        <v>0.33333333333333331</v>
      </c>
      <c r="AM80" s="23">
        <f>IFERROR(VLOOKUP(Costing[[#This Row],[BAS 1 Team]],Staff_Info[],4,0),"")</f>
        <v>30</v>
      </c>
      <c r="AN80" s="22">
        <f>IFERROR(VLOOKUP(Costing[[#This Row],[BAS 1 Frequency]],Frequency[],2,0),"")</f>
        <v>0.33333333333333331</v>
      </c>
      <c r="AO80" s="55">
        <f>IFERROR(Costing[[#This Row],[BAS 1 Hours/Month]]*Costing[[#This Row],[BAS 1 Rate]],0)</f>
        <v>10</v>
      </c>
      <c r="AP80" s="11" t="s">
        <v>180</v>
      </c>
      <c r="AQ80" s="11" t="s">
        <v>117</v>
      </c>
      <c r="AR80" s="11" t="s">
        <v>157</v>
      </c>
      <c r="AS80" s="11">
        <v>15</v>
      </c>
      <c r="AT80" s="22">
        <f>IFERROR(Costing[[#This Row],[Minutes/BAS 2]]*Costing[[#This Row],[BAS 2 Factor]]/60,"")</f>
        <v>8.3333333333333329E-2</v>
      </c>
      <c r="AU80" s="23">
        <f>IFERROR(VLOOKUP(Costing[[#This Row],[BAS 2 Team]],Staff_Info[],4,0),"")</f>
        <v>30</v>
      </c>
      <c r="AV80" s="22">
        <f>IFERROR(VLOOKUP(Costing[[#This Row],[BAS 2 Frequency]],Frequency[],2,0),"")</f>
        <v>0.33333333333333331</v>
      </c>
      <c r="AW80" s="55">
        <f>IFERROR(Costing[[#This Row],[BAS 2 Hours/Month]]*Costing[[#This Row],[BAS 2 Rate]],0)</f>
        <v>2.5</v>
      </c>
      <c r="AX80" s="11"/>
      <c r="AY80" s="11"/>
      <c r="AZ80" s="11"/>
      <c r="BA80" s="11"/>
      <c r="BB80" s="22" t="str">
        <f>IFERROR(Costing[[#This Row],[Minutes/IAS]]*Costing[[#This Row],[IAS Factor]]/60,"")</f>
        <v/>
      </c>
      <c r="BC80" s="23" t="str">
        <f>IFERROR(VLOOKUP(Costing[[#This Row],[IAS Team]],Staff_Info[],4,0),"")</f>
        <v/>
      </c>
      <c r="BD80" s="22" t="str">
        <f>IFERROR(VLOOKUP(Costing[[#This Row],[IAS Frequency]],Frequency[],2,0),"")</f>
        <v/>
      </c>
      <c r="BE80" s="56">
        <f>IFERROR(Costing[[#This Row],[IAS Hours/Month]]*Costing[[#This Row],[IAS Rate]],0)</f>
        <v>0</v>
      </c>
      <c r="BF80" s="11" t="s">
        <v>182</v>
      </c>
      <c r="BG80" s="11" t="s">
        <v>117</v>
      </c>
      <c r="BH80" s="11">
        <v>120</v>
      </c>
      <c r="BI80" s="23">
        <f>IFERROR(VLOOKUP(Costing[[#This Row],[EOFY Team 1]],Staff_Info[],4,0),"")</f>
        <v>30</v>
      </c>
      <c r="BJ80" s="57">
        <f>Costing[[#This Row],[Time Min 1]]/12</f>
        <v>10</v>
      </c>
      <c r="BK80" s="11" t="s">
        <v>126</v>
      </c>
      <c r="BL80" s="11">
        <v>120</v>
      </c>
      <c r="BM80" s="23">
        <f>IFERROR(VLOOKUP(Costing[[#This Row],[EOFY Team 2]],Staff_Info[],4,0),"")</f>
        <v>50</v>
      </c>
      <c r="BN80" s="57">
        <f>Costing[[#This Row],[Time Min 2]]/12</f>
        <v>10</v>
      </c>
      <c r="BO80" s="55">
        <f>IFERROR((Costing[[#This Row],[EOFY 1 Min/Month]]/60*Costing[[#This Row],[EOFY Team 1 Rate]])+(Costing[[#This Row],[EOFY 2 Min/Month]]/60*Costing[[#This Row],[EOFY Team 2 Rate]]),0)</f>
        <v>13.333333333333332</v>
      </c>
      <c r="BP80" s="11" t="s">
        <v>164</v>
      </c>
      <c r="BQ80" s="55">
        <f>IFERROR(VLOOKUP(Costing[[#This Row],[Software Name]],Software[],2,0),0)</f>
        <v>47.27</v>
      </c>
      <c r="BR80" s="59" t="s">
        <v>294</v>
      </c>
      <c r="BS80" s="11" t="s">
        <v>126</v>
      </c>
      <c r="BT80" s="60">
        <f>IF(Costing[[#This Row],[Minutes/Activity]]&gt;0,Costing[[#This Row],[Minutes/Activity]]*Costing[[#This Row],[Onboarding Factor]],"")</f>
        <v>1225.7</v>
      </c>
      <c r="BU80" s="60">
        <f>IFERROR(Costing[[#This Row],[Onboarding Minutes]]/60,)</f>
        <v>20.428333333333335</v>
      </c>
      <c r="BV80" s="60">
        <f t="shared" si="4"/>
        <v>79.92</v>
      </c>
      <c r="BW80" s="61">
        <f>IFERROR(VLOOKUP(Costing[[#This Row],[Onboarding Team]],Staff_Info[],4,0),"")</f>
        <v>50</v>
      </c>
      <c r="BX80" s="60">
        <f t="shared" si="5"/>
        <v>5.95</v>
      </c>
      <c r="BY80" s="55">
        <f>IFERROR(Costing[[#This Row],[Onboarding Hours]]/Costing[[#This Row],[Client Life Expectancy (Months)]]*Costing[[#This Row],[Onboarding Rate]],0)</f>
        <v>12.780488822155489</v>
      </c>
      <c r="BZ80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170.78048882215549</v>
      </c>
      <c r="CA80" s="27">
        <v>593.75</v>
      </c>
      <c r="CB80" s="63">
        <f>IFERROR((Costing[[#This Row],[Current Sales Price]]-Costing[[#This Row],[Total  Cost excl. Software]])/Costing[[#This Row],[Current Sales Price]],)</f>
        <v>0.71236970303636971</v>
      </c>
      <c r="CC80" s="64">
        <f>Costing[[#This Row],[Total  Cost excl. Software]]/(1-$CC$1)</f>
        <v>487.94425377758716</v>
      </c>
    </row>
    <row r="81" spans="1:81" x14ac:dyDescent="0.2">
      <c r="A81" s="11" t="s">
        <v>85</v>
      </c>
      <c r="B81" s="48" t="s">
        <v>145</v>
      </c>
      <c r="C81" s="17" t="s">
        <v>117</v>
      </c>
      <c r="D81" s="17" t="s">
        <v>154</v>
      </c>
      <c r="E81" s="17">
        <v>40</v>
      </c>
      <c r="F81" s="21">
        <f>IFERROR(Costing[[#This Row],[Minutes/Pay Run]]*Costing[[#This Row],[Payroll Factor]]/60,"")</f>
        <v>2.8888888888888884</v>
      </c>
      <c r="G81" s="54">
        <f>IFERROR(VLOOKUP(Costing[[#This Row],[Payroll Team]],Staff_Info[],4,0),"")</f>
        <v>30</v>
      </c>
      <c r="H81" s="21">
        <f>IFERROR(VLOOKUP(Costing[[#This Row],[Payroll Frequency]],Frequency[],2,0),"")</f>
        <v>4.333333333333333</v>
      </c>
      <c r="I81" s="55">
        <f>IFERROR(Costing[[#This Row],[Payroll Hours/Month]]*Costing[[#This Row],[Payroll Rate]],0)</f>
        <v>86.666666666666657</v>
      </c>
      <c r="J81" s="54" t="s">
        <v>176</v>
      </c>
      <c r="K81" s="11" t="s">
        <v>117</v>
      </c>
      <c r="L81" s="11" t="s">
        <v>157</v>
      </c>
      <c r="M81" s="11">
        <v>60</v>
      </c>
      <c r="N81" s="22">
        <f>IFERROR(Costing[[#This Row],[Minutes/Super]]*Costing[[#This Row],[Super Factor]]/60,"")</f>
        <v>0.33333333333333331</v>
      </c>
      <c r="O81" s="23">
        <f>IFERROR(VLOOKUP(Costing[[#This Row],[Super Team]],Staff_Info[],4,0),"")</f>
        <v>30</v>
      </c>
      <c r="P81" s="22">
        <f>IFERROR(VLOOKUP(Costing[[#This Row],[Super Frequency]],Frequency[],2,0),"")</f>
        <v>0.33333333333333331</v>
      </c>
      <c r="Q81" s="55">
        <f>IFERROR(Costing[[#This Row],[Super Hours/Month]]*Costing[[#This Row],[Super Rate]],0)</f>
        <v>10</v>
      </c>
      <c r="R81" s="11" t="s">
        <v>177</v>
      </c>
      <c r="S81" s="11" t="s">
        <v>117</v>
      </c>
      <c r="T81" s="11" t="s">
        <v>183</v>
      </c>
      <c r="U81" s="11">
        <v>250</v>
      </c>
      <c r="V81" s="22">
        <f>IFERROR(Costing[[#This Row],[Minutes/Activity]]*Costing[[#This Row],[Bookkeeping Factor]]/60,"")</f>
        <v>4.166666666666667</v>
      </c>
      <c r="W81" s="23">
        <f>IFERROR(VLOOKUP(Costing[[#This Row],[Bookkeeping Team]],Staff_Info[],4,0),"")</f>
        <v>30</v>
      </c>
      <c r="X81" s="22">
        <f>IFERROR(VLOOKUP(Costing[[#This Row],[Bookkeeping Frequency]],Frequency[],2,0),"")</f>
        <v>1</v>
      </c>
      <c r="Y81" s="55">
        <f>IFERROR(Costing[[#This Row],[Bookkeeping Hours/Month]]*Costing[[#This Row],[Bookkeeping Rate]],0)</f>
        <v>125.00000000000001</v>
      </c>
      <c r="Z81" s="11" t="s">
        <v>178</v>
      </c>
      <c r="AA81" s="11" t="s">
        <v>119</v>
      </c>
      <c r="AB81" s="11" t="s">
        <v>183</v>
      </c>
      <c r="AC81" s="11">
        <v>20</v>
      </c>
      <c r="AD81" s="22">
        <f>IFERROR(Costing[[#This Row],[Minutes/Report]]*Costing[[#This Row],[Reporting Factor]]/60,"")</f>
        <v>0.33333333333333331</v>
      </c>
      <c r="AE81" s="23">
        <f>IFERROR(VLOOKUP(Costing[[#This Row],[Reporting Team]],Staff_Info[],4,0),"")</f>
        <v>50</v>
      </c>
      <c r="AF81" s="22">
        <f>IFERROR(VLOOKUP(Costing[[#This Row],[Reporting Frequency]],Frequency[],2,0),"")</f>
        <v>1</v>
      </c>
      <c r="AG81" s="55">
        <f>IFERROR(Costing[[#This Row],[Reporting Hours/Month]]*Costing[[#This Row],[Reporting Rate]],0)</f>
        <v>16.666666666666664</v>
      </c>
      <c r="AH81" s="11" t="s">
        <v>179</v>
      </c>
      <c r="AI81" s="11" t="s">
        <v>117</v>
      </c>
      <c r="AJ81" s="11" t="s">
        <v>157</v>
      </c>
      <c r="AK81" s="11">
        <v>60</v>
      </c>
      <c r="AL81" s="22">
        <f>IFERROR(Costing[[#This Row],[Minutes/BAS 1]]*Costing[[#This Row],[BAS 1 Factor]]/60,"")</f>
        <v>0.33333333333333331</v>
      </c>
      <c r="AM81" s="23">
        <f>IFERROR(VLOOKUP(Costing[[#This Row],[BAS 1 Team]],Staff_Info[],4,0),"")</f>
        <v>30</v>
      </c>
      <c r="AN81" s="22">
        <f>IFERROR(VLOOKUP(Costing[[#This Row],[BAS 1 Frequency]],Frequency[],2,0),"")</f>
        <v>0.33333333333333331</v>
      </c>
      <c r="AO81" s="55">
        <f>IFERROR(Costing[[#This Row],[BAS 1 Hours/Month]]*Costing[[#This Row],[BAS 1 Rate]],0)</f>
        <v>10</v>
      </c>
      <c r="AP81" s="11" t="s">
        <v>180</v>
      </c>
      <c r="AQ81" s="11" t="s">
        <v>117</v>
      </c>
      <c r="AR81" s="11" t="s">
        <v>157</v>
      </c>
      <c r="AS81" s="11">
        <v>15</v>
      </c>
      <c r="AT81" s="22">
        <f>IFERROR(Costing[[#This Row],[Minutes/BAS 2]]*Costing[[#This Row],[BAS 2 Factor]]/60,"")</f>
        <v>8.3333333333333329E-2</v>
      </c>
      <c r="AU81" s="23">
        <f>IFERROR(VLOOKUP(Costing[[#This Row],[BAS 2 Team]],Staff_Info[],4,0),"")</f>
        <v>30</v>
      </c>
      <c r="AV81" s="22">
        <f>IFERROR(VLOOKUP(Costing[[#This Row],[BAS 2 Frequency]],Frequency[],2,0),"")</f>
        <v>0.33333333333333331</v>
      </c>
      <c r="AW81" s="55">
        <f>IFERROR(Costing[[#This Row],[BAS 2 Hours/Month]]*Costing[[#This Row],[BAS 2 Rate]],0)</f>
        <v>2.5</v>
      </c>
      <c r="AX81" s="11" t="s">
        <v>181</v>
      </c>
      <c r="AY81" s="11" t="s">
        <v>117</v>
      </c>
      <c r="AZ81" s="11" t="s">
        <v>183</v>
      </c>
      <c r="BA81" s="11">
        <v>30</v>
      </c>
      <c r="BB81" s="22">
        <f>IFERROR(Costing[[#This Row],[Minutes/IAS]]*Costing[[#This Row],[IAS Factor]]/60,"")</f>
        <v>0.5</v>
      </c>
      <c r="BC81" s="23">
        <f>IFERROR(VLOOKUP(Costing[[#This Row],[IAS Team]],Staff_Info[],4,0),"")</f>
        <v>30</v>
      </c>
      <c r="BD81" s="22">
        <f>IFERROR(VLOOKUP(Costing[[#This Row],[IAS Frequency]],Frequency[],2,0),"")</f>
        <v>1</v>
      </c>
      <c r="BE81" s="56">
        <f>IFERROR(Costing[[#This Row],[IAS Hours/Month]]*Costing[[#This Row],[IAS Rate]],0)</f>
        <v>15</v>
      </c>
      <c r="BF81" s="11" t="s">
        <v>182</v>
      </c>
      <c r="BG81" s="11" t="s">
        <v>119</v>
      </c>
      <c r="BH81" s="11">
        <v>120</v>
      </c>
      <c r="BI81" s="23">
        <f>IFERROR(VLOOKUP(Costing[[#This Row],[EOFY Team 1]],Staff_Info[],4,0),"")</f>
        <v>50</v>
      </c>
      <c r="BJ81" s="57">
        <f>Costing[[#This Row],[Time Min 1]]/12</f>
        <v>10</v>
      </c>
      <c r="BK81" s="11" t="s">
        <v>117</v>
      </c>
      <c r="BL81" s="11">
        <v>120</v>
      </c>
      <c r="BM81" s="23">
        <f>IFERROR(VLOOKUP(Costing[[#This Row],[EOFY Team 2]],Staff_Info[],4,0),"")</f>
        <v>30</v>
      </c>
      <c r="BN81" s="57">
        <f>Costing[[#This Row],[Time Min 2]]/12</f>
        <v>10</v>
      </c>
      <c r="BO81" s="55">
        <f>IFERROR((Costing[[#This Row],[EOFY 1 Min/Month]]/60*Costing[[#This Row],[EOFY Team 1 Rate]])+(Costing[[#This Row],[EOFY 2 Min/Month]]/60*Costing[[#This Row],[EOFY Team 2 Rate]]),0)</f>
        <v>13.333333333333332</v>
      </c>
      <c r="BP81" s="11" t="s">
        <v>166</v>
      </c>
      <c r="BQ81" s="55">
        <f>IFERROR(VLOOKUP(Costing[[#This Row],[Software Name]],Software[],2,0),0)</f>
        <v>65.459999999999994</v>
      </c>
      <c r="BR81" s="59" t="s">
        <v>294</v>
      </c>
      <c r="BS81" s="11" t="s">
        <v>119</v>
      </c>
      <c r="BT81" s="60">
        <f>IF(Costing[[#This Row],[Minutes/Activity]]&gt;0,Costing[[#This Row],[Minutes/Activity]]*Costing[[#This Row],[Onboarding Factor]],"")</f>
        <v>1487.5</v>
      </c>
      <c r="BU81" s="60">
        <f>IFERROR(Costing[[#This Row],[Onboarding Minutes]]/60,)</f>
        <v>24.791666666666668</v>
      </c>
      <c r="BV81" s="60">
        <f t="shared" si="4"/>
        <v>79.92</v>
      </c>
      <c r="BW81" s="61">
        <f>IFERROR(VLOOKUP(Costing[[#This Row],[Onboarding Team]],Staff_Info[],4,0),"")</f>
        <v>50</v>
      </c>
      <c r="BX81" s="60">
        <f t="shared" si="5"/>
        <v>5.95</v>
      </c>
      <c r="BY81" s="55">
        <f>IFERROR(Costing[[#This Row],[Onboarding Hours]]/Costing[[#This Row],[Client Life Expectancy (Months)]]*Costing[[#This Row],[Onboarding Rate]],0)</f>
        <v>15.510301968635302</v>
      </c>
      <c r="BZ81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294.67696863530199</v>
      </c>
      <c r="CA81" s="27">
        <v>518.17999999999995</v>
      </c>
      <c r="CB81" s="63">
        <f>IFERROR((Costing[[#This Row],[Current Sales Price]]-Costing[[#This Row],[Total  Cost excl. Software]])/Costing[[#This Row],[Current Sales Price]],)</f>
        <v>0.43132315289030448</v>
      </c>
      <c r="CC81" s="64">
        <f>Costing[[#This Row],[Total  Cost excl. Software]]/(1-$CC$1)</f>
        <v>841.93419610086289</v>
      </c>
    </row>
    <row r="82" spans="1:81" x14ac:dyDescent="0.2">
      <c r="A82" s="11" t="s">
        <v>86</v>
      </c>
      <c r="B82" s="17"/>
      <c r="C82" s="17"/>
      <c r="D82" s="17"/>
      <c r="E82" s="17"/>
      <c r="F82" s="21" t="str">
        <f>IFERROR(Costing[[#This Row],[Minutes/Pay Run]]*Costing[[#This Row],[Payroll Factor]]/60,"")</f>
        <v/>
      </c>
      <c r="G82" s="54" t="str">
        <f>IFERROR(VLOOKUP(Costing[[#This Row],[Payroll Team]],Staff_Info[],4,0),"")</f>
        <v/>
      </c>
      <c r="H82" s="21" t="str">
        <f>IFERROR(VLOOKUP(Costing[[#This Row],[Payroll Frequency]],Frequency[],2,0),"")</f>
        <v/>
      </c>
      <c r="I82" s="55">
        <f>IFERROR(Costing[[#This Row],[Payroll Hours/Month]]*Costing[[#This Row],[Payroll Rate]],0)</f>
        <v>0</v>
      </c>
      <c r="J82" s="54"/>
      <c r="K82" s="11"/>
      <c r="L82" s="11"/>
      <c r="M82" s="11"/>
      <c r="N82" s="22" t="str">
        <f>IFERROR(Costing[[#This Row],[Minutes/Super]]*Costing[[#This Row],[Super Factor]]/60,"")</f>
        <v/>
      </c>
      <c r="O82" s="23" t="str">
        <f>IFERROR(VLOOKUP(Costing[[#This Row],[Super Team]],Staff_Info[],4,0),"")</f>
        <v/>
      </c>
      <c r="P82" s="22" t="str">
        <f>IFERROR(VLOOKUP(Costing[[#This Row],[Super Frequency]],Frequency[],2,0),"")</f>
        <v/>
      </c>
      <c r="Q82" s="55">
        <f>IFERROR(Costing[[#This Row],[Super Hours/Month]]*Costing[[#This Row],[Super Rate]],0)</f>
        <v>0</v>
      </c>
      <c r="R82" s="11" t="s">
        <v>177</v>
      </c>
      <c r="S82" s="11" t="s">
        <v>116</v>
      </c>
      <c r="T82" s="11" t="s">
        <v>183</v>
      </c>
      <c r="U82" s="11">
        <v>60</v>
      </c>
      <c r="V82" s="22">
        <f>IFERROR(Costing[[#This Row],[Minutes/Activity]]*Costing[[#This Row],[Bookkeeping Factor]]/60,"")</f>
        <v>1</v>
      </c>
      <c r="W82" s="23">
        <f>IFERROR(VLOOKUP(Costing[[#This Row],[Bookkeeping Team]],Staff_Info[],4,0),"")</f>
        <v>10</v>
      </c>
      <c r="X82" s="22">
        <f>IFERROR(VLOOKUP(Costing[[#This Row],[Bookkeeping Frequency]],Frequency[],2,0),"")</f>
        <v>1</v>
      </c>
      <c r="Y82" s="55">
        <f>IFERROR(Costing[[#This Row],[Bookkeeping Hours/Month]]*Costing[[#This Row],[Bookkeeping Rate]],0)</f>
        <v>10</v>
      </c>
      <c r="Z82" s="11" t="s">
        <v>178</v>
      </c>
      <c r="AA82" s="11" t="s">
        <v>126</v>
      </c>
      <c r="AB82" s="11" t="s">
        <v>183</v>
      </c>
      <c r="AC82" s="11">
        <v>10</v>
      </c>
      <c r="AD82" s="22">
        <f>IFERROR(Costing[[#This Row],[Minutes/Report]]*Costing[[#This Row],[Reporting Factor]]/60,"")</f>
        <v>0.16666666666666666</v>
      </c>
      <c r="AE82" s="23">
        <f>IFERROR(VLOOKUP(Costing[[#This Row],[Reporting Team]],Staff_Info[],4,0),"")</f>
        <v>50</v>
      </c>
      <c r="AF82" s="22">
        <f>IFERROR(VLOOKUP(Costing[[#This Row],[Reporting Frequency]],Frequency[],2,0),"")</f>
        <v>1</v>
      </c>
      <c r="AG82" s="55">
        <f>IFERROR(Costing[[#This Row],[Reporting Hours/Month]]*Costing[[#This Row],[Reporting Rate]],0)</f>
        <v>8.3333333333333321</v>
      </c>
      <c r="AH82" s="11"/>
      <c r="AI82" s="11"/>
      <c r="AJ82" s="11"/>
      <c r="AK82" s="11"/>
      <c r="AL82" s="22" t="str">
        <f>IFERROR(Costing[[#This Row],[Minutes/BAS 1]]*Costing[[#This Row],[BAS 1 Factor]]/60,"")</f>
        <v/>
      </c>
      <c r="AM82" s="23" t="str">
        <f>IFERROR(VLOOKUP(Costing[[#This Row],[BAS 1 Team]],Staff_Info[],4,0),"")</f>
        <v/>
      </c>
      <c r="AN82" s="22" t="str">
        <f>IFERROR(VLOOKUP(Costing[[#This Row],[BAS 1 Frequency]],Frequency[],2,0),"")</f>
        <v/>
      </c>
      <c r="AO82" s="55">
        <f>IFERROR(Costing[[#This Row],[BAS 1 Hours/Month]]*Costing[[#This Row],[BAS 1 Rate]],0)</f>
        <v>0</v>
      </c>
      <c r="AP82" s="11"/>
      <c r="AQ82" s="11"/>
      <c r="AR82" s="11"/>
      <c r="AS82" s="11"/>
      <c r="AT82" s="22" t="str">
        <f>IFERROR(Costing[[#This Row],[Minutes/BAS 2]]*Costing[[#This Row],[BAS 2 Factor]]/60,"")</f>
        <v/>
      </c>
      <c r="AU82" s="23" t="str">
        <f>IFERROR(VLOOKUP(Costing[[#This Row],[BAS 2 Team]],Staff_Info[],4,0),"")</f>
        <v/>
      </c>
      <c r="AV82" s="22" t="str">
        <f>IFERROR(VLOOKUP(Costing[[#This Row],[BAS 2 Frequency]],Frequency[],2,0),"")</f>
        <v/>
      </c>
      <c r="AW82" s="55">
        <f>IFERROR(Costing[[#This Row],[BAS 2 Hours/Month]]*Costing[[#This Row],[BAS 2 Rate]],0)</f>
        <v>0</v>
      </c>
      <c r="AX82" s="11"/>
      <c r="AY82" s="11"/>
      <c r="AZ82" s="11"/>
      <c r="BA82" s="11"/>
      <c r="BB82" s="22" t="str">
        <f>IFERROR(Costing[[#This Row],[Minutes/IAS]]*Costing[[#This Row],[IAS Factor]]/60,"")</f>
        <v/>
      </c>
      <c r="BC82" s="23" t="str">
        <f>IFERROR(VLOOKUP(Costing[[#This Row],[IAS Team]],Staff_Info[],4,0),"")</f>
        <v/>
      </c>
      <c r="BD82" s="22" t="str">
        <f>IFERROR(VLOOKUP(Costing[[#This Row],[IAS Frequency]],Frequency[],2,0),"")</f>
        <v/>
      </c>
      <c r="BE82" s="56">
        <f>IFERROR(Costing[[#This Row],[IAS Hours/Month]]*Costing[[#This Row],[IAS Rate]],0)</f>
        <v>0</v>
      </c>
      <c r="BF82" s="11" t="s">
        <v>182</v>
      </c>
      <c r="BG82" s="11" t="s">
        <v>116</v>
      </c>
      <c r="BH82" s="11">
        <v>120</v>
      </c>
      <c r="BI82" s="23">
        <f>IFERROR(VLOOKUP(Costing[[#This Row],[EOFY Team 1]],Staff_Info[],4,0),"")</f>
        <v>10</v>
      </c>
      <c r="BJ82" s="57">
        <f>Costing[[#This Row],[Time Min 1]]/12</f>
        <v>10</v>
      </c>
      <c r="BK82" s="11" t="s">
        <v>126</v>
      </c>
      <c r="BL82" s="11">
        <v>120</v>
      </c>
      <c r="BM82" s="23">
        <f>IFERROR(VLOOKUP(Costing[[#This Row],[EOFY Team 2]],Staff_Info[],4,0),"")</f>
        <v>50</v>
      </c>
      <c r="BN82" s="57">
        <f>Costing[[#This Row],[Time Min 2]]/12</f>
        <v>10</v>
      </c>
      <c r="BO82" s="55">
        <f>IFERROR((Costing[[#This Row],[EOFY 1 Min/Month]]/60*Costing[[#This Row],[EOFY Team 1 Rate]])+(Costing[[#This Row],[EOFY 2 Min/Month]]/60*Costing[[#This Row],[EOFY Team 2 Rate]]),0)</f>
        <v>9.9999999999999982</v>
      </c>
      <c r="BP82" s="11" t="s">
        <v>160</v>
      </c>
      <c r="BQ82" s="55">
        <f>IFERROR(VLOOKUP(Costing[[#This Row],[Software Name]],Software[],2,0),0)</f>
        <v>9.09</v>
      </c>
      <c r="BR82" s="59" t="s">
        <v>294</v>
      </c>
      <c r="BS82" s="11" t="s">
        <v>126</v>
      </c>
      <c r="BT82" s="60">
        <f>IF(Costing[[#This Row],[Minutes/Activity]]&gt;0,Costing[[#This Row],[Minutes/Activity]]*Costing[[#This Row],[Onboarding Factor]],"")</f>
        <v>357</v>
      </c>
      <c r="BU82" s="60">
        <f>IFERROR(Costing[[#This Row],[Onboarding Minutes]]/60,)</f>
        <v>5.95</v>
      </c>
      <c r="BV82" s="60">
        <f t="shared" si="4"/>
        <v>79.92</v>
      </c>
      <c r="BW82" s="61">
        <f>IFERROR(VLOOKUP(Costing[[#This Row],[Onboarding Team]],Staff_Info[],4,0),"")</f>
        <v>50</v>
      </c>
      <c r="BX82" s="60">
        <f t="shared" si="5"/>
        <v>5.95</v>
      </c>
      <c r="BY82" s="55">
        <f>IFERROR(Costing[[#This Row],[Onboarding Hours]]/Costing[[#This Row],[Client Life Expectancy (Months)]]*Costing[[#This Row],[Onboarding Rate]],0)</f>
        <v>3.7224724724724725</v>
      </c>
      <c r="BZ82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32.055805805805804</v>
      </c>
      <c r="CA82" s="27">
        <v>76.38</v>
      </c>
      <c r="CB82" s="63">
        <f>IFERROR((Costing[[#This Row],[Current Sales Price]]-Costing[[#This Row],[Total  Cost excl. Software]])/Costing[[#This Row],[Current Sales Price]],)</f>
        <v>0.58031152388313945</v>
      </c>
      <c r="CC82" s="64">
        <f>Costing[[#This Row],[Total  Cost excl. Software]]/(1-$CC$1)</f>
        <v>91.588016588016586</v>
      </c>
    </row>
    <row r="83" spans="1:81" x14ac:dyDescent="0.2">
      <c r="A83" s="11" t="s">
        <v>88</v>
      </c>
      <c r="B83" s="48"/>
      <c r="C83" s="17"/>
      <c r="D83" s="17"/>
      <c r="E83" s="17"/>
      <c r="F83" s="21" t="str">
        <f>IFERROR(Costing[[#This Row],[Minutes/Pay Run]]*Costing[[#This Row],[Payroll Factor]]/60,"")</f>
        <v/>
      </c>
      <c r="G83" s="54" t="str">
        <f>IFERROR(VLOOKUP(Costing[[#This Row],[Payroll Team]],Staff_Info[],4,0),"")</f>
        <v/>
      </c>
      <c r="H83" s="21" t="str">
        <f>IFERROR(VLOOKUP(Costing[[#This Row],[Payroll Frequency]],Frequency[],2,0),"")</f>
        <v/>
      </c>
      <c r="I83" s="55">
        <f>IFERROR(Costing[[#This Row],[Payroll Hours/Month]]*Costing[[#This Row],[Payroll Rate]],0)</f>
        <v>0</v>
      </c>
      <c r="J83" s="66"/>
      <c r="K83" s="11"/>
      <c r="L83" s="11"/>
      <c r="M83" s="11"/>
      <c r="N83" s="22" t="str">
        <f>IFERROR(Costing[[#This Row],[Minutes/Super]]*Costing[[#This Row],[Super Factor]]/60,"")</f>
        <v/>
      </c>
      <c r="O83" s="23" t="str">
        <f>IFERROR(VLOOKUP(Costing[[#This Row],[Super Team]],Staff_Info[],4,0),"")</f>
        <v/>
      </c>
      <c r="P83" s="22" t="str">
        <f>IFERROR(VLOOKUP(Costing[[#This Row],[Super Frequency]],Frequency[],2,0),"")</f>
        <v/>
      </c>
      <c r="Q83" s="55">
        <f>IFERROR(Costing[[#This Row],[Super Hours/Month]]*Costing[[#This Row],[Super Rate]],0)</f>
        <v>0</v>
      </c>
      <c r="R83" s="48" t="s">
        <v>177</v>
      </c>
      <c r="S83" s="11" t="s">
        <v>115</v>
      </c>
      <c r="T83" s="11" t="s">
        <v>183</v>
      </c>
      <c r="U83" s="11">
        <v>60</v>
      </c>
      <c r="V83" s="22">
        <f>IFERROR(Costing[[#This Row],[Minutes/Activity]]*Costing[[#This Row],[Bookkeeping Factor]]/60,"")</f>
        <v>1</v>
      </c>
      <c r="W83" s="23">
        <f>IFERROR(VLOOKUP(Costing[[#This Row],[Bookkeeping Team]],Staff_Info[],4,0),"")</f>
        <v>10</v>
      </c>
      <c r="X83" s="22">
        <f>IFERROR(VLOOKUP(Costing[[#This Row],[Bookkeeping Frequency]],Frequency[],2,0),"")</f>
        <v>1</v>
      </c>
      <c r="Y83" s="55">
        <f>IFERROR(Costing[[#This Row],[Bookkeeping Hours/Month]]*Costing[[#This Row],[Bookkeeping Rate]],0)</f>
        <v>10</v>
      </c>
      <c r="Z83" s="48" t="s">
        <v>178</v>
      </c>
      <c r="AA83" s="11" t="s">
        <v>119</v>
      </c>
      <c r="AB83" s="11" t="s">
        <v>183</v>
      </c>
      <c r="AC83" s="11">
        <v>20</v>
      </c>
      <c r="AD83" s="22">
        <f>IFERROR(Costing[[#This Row],[Minutes/Report]]*Costing[[#This Row],[Reporting Factor]]/60,"")</f>
        <v>0.33333333333333331</v>
      </c>
      <c r="AE83" s="23">
        <f>IFERROR(VLOOKUP(Costing[[#This Row],[Reporting Team]],Staff_Info[],4,0),"")</f>
        <v>50</v>
      </c>
      <c r="AF83" s="22">
        <f>IFERROR(VLOOKUP(Costing[[#This Row],[Reporting Frequency]],Frequency[],2,0),"")</f>
        <v>1</v>
      </c>
      <c r="AG83" s="55">
        <f>IFERROR(Costing[[#This Row],[Reporting Hours/Month]]*Costing[[#This Row],[Reporting Rate]],0)</f>
        <v>16.666666666666664</v>
      </c>
      <c r="AH83" s="48" t="s">
        <v>179</v>
      </c>
      <c r="AI83" s="11" t="s">
        <v>115</v>
      </c>
      <c r="AJ83" s="11" t="s">
        <v>157</v>
      </c>
      <c r="AK83" s="11">
        <v>60</v>
      </c>
      <c r="AL83" s="22">
        <f>IFERROR(Costing[[#This Row],[Minutes/BAS 1]]*Costing[[#This Row],[BAS 1 Factor]]/60,"")</f>
        <v>0.33333333333333331</v>
      </c>
      <c r="AM83" s="23">
        <f>IFERROR(VLOOKUP(Costing[[#This Row],[BAS 1 Team]],Staff_Info[],4,0),"")</f>
        <v>10</v>
      </c>
      <c r="AN83" s="22">
        <f>IFERROR(VLOOKUP(Costing[[#This Row],[BAS 1 Frequency]],Frequency[],2,0),"")</f>
        <v>0.33333333333333331</v>
      </c>
      <c r="AO83" s="55">
        <f>IFERROR(Costing[[#This Row],[BAS 1 Hours/Month]]*Costing[[#This Row],[BAS 1 Rate]],0)</f>
        <v>3.333333333333333</v>
      </c>
      <c r="AP83" s="48" t="s">
        <v>180</v>
      </c>
      <c r="AQ83" s="11" t="s">
        <v>117</v>
      </c>
      <c r="AR83" s="11" t="s">
        <v>157</v>
      </c>
      <c r="AS83" s="11">
        <v>15</v>
      </c>
      <c r="AT83" s="22">
        <f>IFERROR(Costing[[#This Row],[Minutes/BAS 2]]*Costing[[#This Row],[BAS 2 Factor]]/60,"")</f>
        <v>8.3333333333333329E-2</v>
      </c>
      <c r="AU83" s="23">
        <f>IFERROR(VLOOKUP(Costing[[#This Row],[BAS 2 Team]],Staff_Info[],4,0),"")</f>
        <v>30</v>
      </c>
      <c r="AV83" s="22">
        <f>IFERROR(VLOOKUP(Costing[[#This Row],[BAS 2 Frequency]],Frequency[],2,0),"")</f>
        <v>0.33333333333333331</v>
      </c>
      <c r="AW83" s="55">
        <f>IFERROR(Costing[[#This Row],[BAS 2 Hours/Month]]*Costing[[#This Row],[BAS 2 Rate]],0)</f>
        <v>2.5</v>
      </c>
      <c r="AX83" s="48"/>
      <c r="AY83" s="11"/>
      <c r="AZ83" s="11"/>
      <c r="BA83" s="11"/>
      <c r="BB83" s="22" t="str">
        <f>IFERROR(Costing[[#This Row],[Minutes/IAS]]*Costing[[#This Row],[IAS Factor]]/60,"")</f>
        <v/>
      </c>
      <c r="BC83" s="23" t="str">
        <f>IFERROR(VLOOKUP(Costing[[#This Row],[IAS Team]],Staff_Info[],4,0),"")</f>
        <v/>
      </c>
      <c r="BD83" s="22" t="str">
        <f>IFERROR(VLOOKUP(Costing[[#This Row],[IAS Frequency]],Frequency[],2,0),"")</f>
        <v/>
      </c>
      <c r="BE83" s="56">
        <f>IFERROR(Costing[[#This Row],[IAS Hours/Month]]*Costing[[#This Row],[IAS Rate]],0)</f>
        <v>0</v>
      </c>
      <c r="BF83" s="48" t="s">
        <v>182</v>
      </c>
      <c r="BG83" s="11" t="s">
        <v>119</v>
      </c>
      <c r="BH83" s="11">
        <v>120</v>
      </c>
      <c r="BI83" s="23">
        <f>IFERROR(VLOOKUP(Costing[[#This Row],[EOFY Team 1]],Staff_Info[],4,0),"")</f>
        <v>50</v>
      </c>
      <c r="BJ83" s="57">
        <f>Costing[[#This Row],[Time Min 1]]/12</f>
        <v>10</v>
      </c>
      <c r="BK83" s="11" t="s">
        <v>115</v>
      </c>
      <c r="BL83" s="11">
        <v>120</v>
      </c>
      <c r="BM83" s="23">
        <f>IFERROR(VLOOKUP(Costing[[#This Row],[EOFY Team 2]],Staff_Info[],4,0),"")</f>
        <v>10</v>
      </c>
      <c r="BN83" s="57">
        <f>Costing[[#This Row],[Time Min 2]]/12</f>
        <v>10</v>
      </c>
      <c r="BO83" s="55">
        <f>IFERROR((Costing[[#This Row],[EOFY 1 Min/Month]]/60*Costing[[#This Row],[EOFY Team 1 Rate]])+(Costing[[#This Row],[EOFY 2 Min/Month]]/60*Costing[[#This Row],[EOFY Team 2 Rate]]),0)</f>
        <v>9.9999999999999982</v>
      </c>
      <c r="BP83" s="48" t="s">
        <v>163</v>
      </c>
      <c r="BQ83" s="59">
        <f>IFERROR(VLOOKUP(Costing[[#This Row],[Software Name]],Software[],2,0),0)</f>
        <v>36.36</v>
      </c>
      <c r="BR83" s="59" t="s">
        <v>294</v>
      </c>
      <c r="BS83" s="11" t="s">
        <v>119</v>
      </c>
      <c r="BT83" s="60">
        <f>IF(Costing[[#This Row],[Minutes/Activity]]&gt;0,Costing[[#This Row],[Minutes/Activity]]*Costing[[#This Row],[Onboarding Factor]],"")</f>
        <v>357</v>
      </c>
      <c r="BU83" s="60">
        <f>IFERROR(Costing[[#This Row],[Onboarding Minutes]]/60,)</f>
        <v>5.95</v>
      </c>
      <c r="BV83" s="60">
        <f t="shared" si="4"/>
        <v>79.92</v>
      </c>
      <c r="BW83" s="61">
        <f>IFERROR(VLOOKUP(Costing[[#This Row],[Onboarding Team]],Staff_Info[],4,0),"")</f>
        <v>50</v>
      </c>
      <c r="BX83" s="60">
        <f t="shared" si="5"/>
        <v>5.95</v>
      </c>
      <c r="BY83" s="55">
        <f>IFERROR(Costing[[#This Row],[Onboarding Hours]]/Costing[[#This Row],[Client Life Expectancy (Months)]]*Costing[[#This Row],[Onboarding Rate]],0)</f>
        <v>3.7224724724724725</v>
      </c>
      <c r="BZ83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46.222472472472475</v>
      </c>
      <c r="CA83" s="27">
        <v>186.2</v>
      </c>
      <c r="CB83" s="63">
        <f>IFERROR((Costing[[#This Row],[Current Sales Price]]-Costing[[#This Row],[Total  Cost excl. Software]])/Costing[[#This Row],[Current Sales Price]],)</f>
        <v>0.75175900927780626</v>
      </c>
      <c r="CC83" s="64">
        <f>Costing[[#This Row],[Total  Cost excl. Software]]/(1-$CC$1)</f>
        <v>132.06420706420707</v>
      </c>
    </row>
    <row r="84" spans="1:81" x14ac:dyDescent="0.2">
      <c r="A84" s="11" t="s">
        <v>89</v>
      </c>
      <c r="B84" s="48"/>
      <c r="C84" s="17"/>
      <c r="D84" s="17"/>
      <c r="E84" s="17"/>
      <c r="F84" s="21" t="str">
        <f>IFERROR(Costing[[#This Row],[Minutes/Pay Run]]*Costing[[#This Row],[Payroll Factor]]/60,"")</f>
        <v/>
      </c>
      <c r="G84" s="54" t="str">
        <f>IFERROR(VLOOKUP(Costing[[#This Row],[Payroll Team]],Staff_Info[],4,0),"")</f>
        <v/>
      </c>
      <c r="H84" s="21" t="str">
        <f>IFERROR(VLOOKUP(Costing[[#This Row],[Payroll Frequency]],Frequency[],2,0),"")</f>
        <v/>
      </c>
      <c r="I84" s="55">
        <f>IFERROR(Costing[[#This Row],[Payroll Hours/Month]]*Costing[[#This Row],[Payroll Rate]],0)</f>
        <v>0</v>
      </c>
      <c r="J84" s="66"/>
      <c r="K84" s="11"/>
      <c r="L84" s="11"/>
      <c r="M84" s="11"/>
      <c r="N84" s="22" t="str">
        <f>IFERROR(Costing[[#This Row],[Minutes/Super]]*Costing[[#This Row],[Super Factor]]/60,"")</f>
        <v/>
      </c>
      <c r="O84" s="23" t="str">
        <f>IFERROR(VLOOKUP(Costing[[#This Row],[Super Team]],Staff_Info[],4,0),"")</f>
        <v/>
      </c>
      <c r="P84" s="22" t="str">
        <f>IFERROR(VLOOKUP(Costing[[#This Row],[Super Frequency]],Frequency[],2,0),"")</f>
        <v/>
      </c>
      <c r="Q84" s="55">
        <f>IFERROR(Costing[[#This Row],[Super Hours/Month]]*Costing[[#This Row],[Super Rate]],0)</f>
        <v>0</v>
      </c>
      <c r="R84" s="48" t="s">
        <v>177</v>
      </c>
      <c r="S84" s="11" t="s">
        <v>117</v>
      </c>
      <c r="T84" s="11" t="s">
        <v>157</v>
      </c>
      <c r="U84" s="11">
        <v>60</v>
      </c>
      <c r="V84" s="22">
        <f>IFERROR(Costing[[#This Row],[Minutes/Activity]]*Costing[[#This Row],[Bookkeeping Factor]]/60,"")</f>
        <v>0.33333333333333331</v>
      </c>
      <c r="W84" s="23">
        <f>IFERROR(VLOOKUP(Costing[[#This Row],[Bookkeeping Team]],Staff_Info[],4,0),"")</f>
        <v>30</v>
      </c>
      <c r="X84" s="22">
        <f>IFERROR(VLOOKUP(Costing[[#This Row],[Bookkeeping Frequency]],Frequency[],2,0),"")</f>
        <v>0.33333333333333331</v>
      </c>
      <c r="Y84" s="55">
        <f>IFERROR(Costing[[#This Row],[Bookkeeping Hours/Month]]*Costing[[#This Row],[Bookkeeping Rate]],0)</f>
        <v>10</v>
      </c>
      <c r="Z84" s="48"/>
      <c r="AA84" s="11"/>
      <c r="AB84" s="11"/>
      <c r="AC84" s="11"/>
      <c r="AD84" s="22" t="str">
        <f>IFERROR(Costing[[#This Row],[Minutes/Report]]*Costing[[#This Row],[Reporting Factor]]/60,"")</f>
        <v/>
      </c>
      <c r="AE84" s="23" t="str">
        <f>IFERROR(VLOOKUP(Costing[[#This Row],[Reporting Team]],Staff_Info[],4,0),"")</f>
        <v/>
      </c>
      <c r="AF84" s="22" t="str">
        <f>IFERROR(VLOOKUP(Costing[[#This Row],[Reporting Frequency]],Frequency[],2,0),"")</f>
        <v/>
      </c>
      <c r="AG84" s="55">
        <f>IFERROR(Costing[[#This Row],[Reporting Hours/Month]]*Costing[[#This Row],[Reporting Rate]],0)</f>
        <v>0</v>
      </c>
      <c r="AH84" s="48" t="s">
        <v>179</v>
      </c>
      <c r="AI84" s="11" t="s">
        <v>115</v>
      </c>
      <c r="AJ84" s="11" t="s">
        <v>157</v>
      </c>
      <c r="AK84" s="11">
        <v>60</v>
      </c>
      <c r="AL84" s="22">
        <f>IFERROR(Costing[[#This Row],[Minutes/BAS 1]]*Costing[[#This Row],[BAS 1 Factor]]/60,"")</f>
        <v>0.33333333333333331</v>
      </c>
      <c r="AM84" s="23">
        <f>IFERROR(VLOOKUP(Costing[[#This Row],[BAS 1 Team]],Staff_Info[],4,0),"")</f>
        <v>10</v>
      </c>
      <c r="AN84" s="22">
        <f>IFERROR(VLOOKUP(Costing[[#This Row],[BAS 1 Frequency]],Frequency[],2,0),"")</f>
        <v>0.33333333333333331</v>
      </c>
      <c r="AO84" s="55">
        <f>IFERROR(Costing[[#This Row],[BAS 1 Hours/Month]]*Costing[[#This Row],[BAS 1 Rate]],0)</f>
        <v>3.333333333333333</v>
      </c>
      <c r="AP84" s="48" t="s">
        <v>180</v>
      </c>
      <c r="AQ84" s="11" t="s">
        <v>117</v>
      </c>
      <c r="AR84" s="11" t="s">
        <v>157</v>
      </c>
      <c r="AS84" s="11">
        <v>15</v>
      </c>
      <c r="AT84" s="22">
        <f>IFERROR(Costing[[#This Row],[Minutes/BAS 2]]*Costing[[#This Row],[BAS 2 Factor]]/60,"")</f>
        <v>8.3333333333333329E-2</v>
      </c>
      <c r="AU84" s="23">
        <f>IFERROR(VLOOKUP(Costing[[#This Row],[BAS 2 Team]],Staff_Info[],4,0),"")</f>
        <v>30</v>
      </c>
      <c r="AV84" s="22">
        <f>IFERROR(VLOOKUP(Costing[[#This Row],[BAS 2 Frequency]],Frequency[],2,0),"")</f>
        <v>0.33333333333333331</v>
      </c>
      <c r="AW84" s="55">
        <f>IFERROR(Costing[[#This Row],[BAS 2 Hours/Month]]*Costing[[#This Row],[BAS 2 Rate]],0)</f>
        <v>2.5</v>
      </c>
      <c r="AX84" s="48"/>
      <c r="AY84" s="11"/>
      <c r="AZ84" s="11"/>
      <c r="BA84" s="11"/>
      <c r="BB84" s="22" t="str">
        <f>IFERROR(Costing[[#This Row],[Minutes/IAS]]*Costing[[#This Row],[IAS Factor]]/60,"")</f>
        <v/>
      </c>
      <c r="BC84" s="23" t="str">
        <f>IFERROR(VLOOKUP(Costing[[#This Row],[IAS Team]],Staff_Info[],4,0),"")</f>
        <v/>
      </c>
      <c r="BD84" s="22" t="str">
        <f>IFERROR(VLOOKUP(Costing[[#This Row],[IAS Frequency]],Frequency[],2,0),"")</f>
        <v/>
      </c>
      <c r="BE84" s="56">
        <f>IFERROR(Costing[[#This Row],[IAS Hours/Month]]*Costing[[#This Row],[IAS Rate]],0)</f>
        <v>0</v>
      </c>
      <c r="BF84" s="48" t="s">
        <v>182</v>
      </c>
      <c r="BG84" s="11" t="s">
        <v>119</v>
      </c>
      <c r="BH84" s="11">
        <v>60</v>
      </c>
      <c r="BI84" s="23">
        <f>IFERROR(VLOOKUP(Costing[[#This Row],[EOFY Team 1]],Staff_Info[],4,0),"")</f>
        <v>50</v>
      </c>
      <c r="BJ84" s="57">
        <f>Costing[[#This Row],[Time Min 1]]/12</f>
        <v>5</v>
      </c>
      <c r="BK84" s="11" t="s">
        <v>117</v>
      </c>
      <c r="BL84" s="11">
        <v>60</v>
      </c>
      <c r="BM84" s="23">
        <f>IFERROR(VLOOKUP(Costing[[#This Row],[EOFY Team 2]],Staff_Info[],4,0),"")</f>
        <v>30</v>
      </c>
      <c r="BN84" s="57">
        <f>Costing[[#This Row],[Time Min 2]]/12</f>
        <v>5</v>
      </c>
      <c r="BO84" s="55">
        <f>IFERROR((Costing[[#This Row],[EOFY 1 Min/Month]]/60*Costing[[#This Row],[EOFY Team 1 Rate]])+(Costing[[#This Row],[EOFY 2 Min/Month]]/60*Costing[[#This Row],[EOFY Team 2 Rate]]),0)</f>
        <v>6.6666666666666661</v>
      </c>
      <c r="BP84" s="48"/>
      <c r="BQ84" s="59">
        <f>IFERROR(VLOOKUP(Costing[[#This Row],[Software Name]],Software[],2,0),0)</f>
        <v>0</v>
      </c>
      <c r="BR84" s="59" t="s">
        <v>294</v>
      </c>
      <c r="BS84" s="11" t="s">
        <v>119</v>
      </c>
      <c r="BT84" s="60">
        <f>IF(Costing[[#This Row],[Minutes/Activity]]&gt;0,Costing[[#This Row],[Minutes/Activity]]*Costing[[#This Row],[Onboarding Factor]],"")</f>
        <v>357</v>
      </c>
      <c r="BU84" s="60">
        <f>IFERROR(Costing[[#This Row],[Onboarding Minutes]]/60,)</f>
        <v>5.95</v>
      </c>
      <c r="BV84" s="60">
        <f t="shared" si="4"/>
        <v>79.92</v>
      </c>
      <c r="BW84" s="61">
        <f>IFERROR(VLOOKUP(Costing[[#This Row],[Onboarding Team]],Staff_Info[],4,0),"")</f>
        <v>50</v>
      </c>
      <c r="BX84" s="60">
        <f t="shared" si="5"/>
        <v>5.95</v>
      </c>
      <c r="BY84" s="55">
        <f>IFERROR(Costing[[#This Row],[Onboarding Hours]]/Costing[[#This Row],[Client Life Expectancy (Months)]]*Costing[[#This Row],[Onboarding Rate]],0)</f>
        <v>3.7224724724724725</v>
      </c>
      <c r="BZ84" s="62">
        <f>Costing[[#This Row],[Monthly Payroll Cost]]+Costing[[#This Row],[Monthly Super Cost]]+Costing[[#This Row],[Monthly Bookkeeping Cost]]+Costing[[#This Row],[Monthly Reporting Cost]]+Costing[[#This Row],[Monthly BAS 1 Cost]]+Costing[[#This Row],[Monthly BAS 2 Cost]]+Costing[[#This Row],[Monthly IAS Cost]]+Costing[[#This Row],[Monthly EOFY Cost]]+Costing[[#This Row],[Total Onboarding Monthly Cost]]</f>
        <v>26.222472472472472</v>
      </c>
      <c r="CA84" s="27">
        <v>60</v>
      </c>
      <c r="CB84" s="63">
        <f>IFERROR((Costing[[#This Row],[Current Sales Price]]-Costing[[#This Row],[Total  Cost excl. Software]])/Costing[[#This Row],[Current Sales Price]],)</f>
        <v>0.56295879212545874</v>
      </c>
      <c r="CC84" s="64">
        <f>Costing[[#This Row],[Total  Cost excl. Software]]/(1-$CC$1)</f>
        <v>74.921349921349929</v>
      </c>
    </row>
    <row r="86" spans="1:81" x14ac:dyDescent="0.2">
      <c r="V86" s="10">
        <f>AVERAGE(Costing[Bookkeeping Hours/Month])</f>
        <v>2.6912798874824193</v>
      </c>
      <c r="W86" s="10" t="s">
        <v>284</v>
      </c>
      <c r="X86" s="10">
        <f>16/V86</f>
        <v>5.9451267311209817</v>
      </c>
    </row>
    <row r="89" spans="1:81" x14ac:dyDescent="0.2">
      <c r="X89" s="10" t="s">
        <v>286</v>
      </c>
    </row>
    <row r="90" spans="1:81" x14ac:dyDescent="0.2">
      <c r="V90" s="20">
        <v>0.33333333333333331</v>
      </c>
      <c r="W90" s="20">
        <f>V90*$X$86/24</f>
        <v>8.257120459890252E-2</v>
      </c>
      <c r="X90" s="49">
        <f>W90*50</f>
        <v>4.1285602299451263</v>
      </c>
    </row>
    <row r="91" spans="1:81" x14ac:dyDescent="0.2">
      <c r="D91" s="12"/>
      <c r="V91" s="20">
        <v>1.5</v>
      </c>
      <c r="W91" s="20">
        <f t="shared" ref="W91:W154" si="6">V91*$X$86/24</f>
        <v>0.37157042069506135</v>
      </c>
      <c r="X91" s="49">
        <f t="shared" ref="X91:X154" si="7">W91*50</f>
        <v>18.578521034753066</v>
      </c>
    </row>
    <row r="92" spans="1:81" x14ac:dyDescent="0.2">
      <c r="V92" s="20">
        <v>2.5</v>
      </c>
      <c r="W92" s="20">
        <f t="shared" si="6"/>
        <v>0.61928403449176894</v>
      </c>
      <c r="X92" s="49">
        <f t="shared" si="7"/>
        <v>30.964201724588449</v>
      </c>
    </row>
    <row r="93" spans="1:81" x14ac:dyDescent="0.2">
      <c r="V93" s="20">
        <v>1.25</v>
      </c>
      <c r="W93" s="20">
        <f t="shared" si="6"/>
        <v>0.30964201724588447</v>
      </c>
      <c r="X93" s="49">
        <f t="shared" si="7"/>
        <v>15.482100862294224</v>
      </c>
    </row>
    <row r="94" spans="1:81" x14ac:dyDescent="0.2">
      <c r="V94" s="20">
        <v>2</v>
      </c>
      <c r="W94" s="20">
        <f t="shared" si="6"/>
        <v>0.49542722759341512</v>
      </c>
      <c r="X94" s="49">
        <f t="shared" si="7"/>
        <v>24.771361379670758</v>
      </c>
    </row>
    <row r="95" spans="1:81" x14ac:dyDescent="0.2">
      <c r="V95" s="20" t="s">
        <v>285</v>
      </c>
      <c r="W95" s="20" t="e">
        <f>V95*$X$86/24</f>
        <v>#VALUE!</v>
      </c>
      <c r="X95" s="49" t="e">
        <f t="shared" si="7"/>
        <v>#VALUE!</v>
      </c>
    </row>
    <row r="96" spans="1:81" x14ac:dyDescent="0.2">
      <c r="V96" s="20">
        <v>10.35</v>
      </c>
      <c r="W96" s="20">
        <f t="shared" si="6"/>
        <v>2.563835902795923</v>
      </c>
      <c r="X96" s="49">
        <f t="shared" si="7"/>
        <v>128.19179513979614</v>
      </c>
    </row>
    <row r="97" spans="10:24" x14ac:dyDescent="0.2">
      <c r="J97" s="24"/>
      <c r="V97" s="20">
        <v>3</v>
      </c>
      <c r="W97" s="20">
        <f t="shared" si="6"/>
        <v>0.74314084139012271</v>
      </c>
      <c r="X97" s="49">
        <f t="shared" si="7"/>
        <v>37.157042069506133</v>
      </c>
    </row>
    <row r="98" spans="10:24" x14ac:dyDescent="0.2">
      <c r="V98" s="20">
        <v>3</v>
      </c>
      <c r="W98" s="20">
        <f t="shared" si="6"/>
        <v>0.74314084139012271</v>
      </c>
      <c r="X98" s="49">
        <f t="shared" si="7"/>
        <v>37.157042069506133</v>
      </c>
    </row>
    <row r="99" spans="10:24" x14ac:dyDescent="0.2">
      <c r="V99" s="20">
        <v>0.5</v>
      </c>
      <c r="W99" s="20">
        <f t="shared" si="6"/>
        <v>0.12385680689835378</v>
      </c>
      <c r="X99" s="49">
        <f t="shared" si="7"/>
        <v>6.1928403449176894</v>
      </c>
    </row>
    <row r="100" spans="10:24" x14ac:dyDescent="0.2">
      <c r="V100" s="20">
        <v>0.66666666666666663</v>
      </c>
      <c r="W100" s="20">
        <f t="shared" si="6"/>
        <v>0.16514240919780504</v>
      </c>
      <c r="X100" s="49">
        <f t="shared" si="7"/>
        <v>8.2571204598902526</v>
      </c>
    </row>
    <row r="101" spans="10:24" x14ac:dyDescent="0.2">
      <c r="V101" s="20">
        <v>0.55555555555555547</v>
      </c>
      <c r="W101" s="20">
        <f t="shared" si="6"/>
        <v>0.13761867433150418</v>
      </c>
      <c r="X101" s="49">
        <f t="shared" si="7"/>
        <v>6.8809337165752087</v>
      </c>
    </row>
    <row r="102" spans="10:24" x14ac:dyDescent="0.2">
      <c r="V102" s="20">
        <v>2.3333333333333335</v>
      </c>
      <c r="W102" s="20">
        <f t="shared" si="6"/>
        <v>0.57799843219231772</v>
      </c>
      <c r="X102" s="49">
        <f t="shared" si="7"/>
        <v>28.899921609615888</v>
      </c>
    </row>
    <row r="103" spans="10:24" x14ac:dyDescent="0.2">
      <c r="V103" s="20">
        <v>0.63888888888888884</v>
      </c>
      <c r="W103" s="20">
        <f t="shared" si="6"/>
        <v>0.15826147548122982</v>
      </c>
      <c r="X103" s="49">
        <f t="shared" si="7"/>
        <v>7.9130737740614912</v>
      </c>
    </row>
    <row r="104" spans="10:24" x14ac:dyDescent="0.2">
      <c r="V104" s="20">
        <v>2.35</v>
      </c>
      <c r="W104" s="20">
        <f t="shared" si="6"/>
        <v>0.58212699242226285</v>
      </c>
      <c r="X104" s="49">
        <f t="shared" si="7"/>
        <v>29.106349621113143</v>
      </c>
    </row>
    <row r="105" spans="10:24" x14ac:dyDescent="0.2">
      <c r="V105" s="20">
        <v>1.25</v>
      </c>
      <c r="W105" s="20">
        <f t="shared" si="6"/>
        <v>0.30964201724588447</v>
      </c>
      <c r="X105" s="49">
        <f t="shared" si="7"/>
        <v>15.482100862294224</v>
      </c>
    </row>
    <row r="106" spans="10:24" x14ac:dyDescent="0.2">
      <c r="V106" s="20">
        <v>3.3333333333333335</v>
      </c>
      <c r="W106" s="20">
        <f t="shared" si="6"/>
        <v>0.82571204598902526</v>
      </c>
      <c r="X106" s="49">
        <f t="shared" si="7"/>
        <v>41.285602299451263</v>
      </c>
    </row>
    <row r="107" spans="10:24" x14ac:dyDescent="0.2">
      <c r="V107" s="20">
        <v>0.5</v>
      </c>
      <c r="W107" s="20">
        <f t="shared" si="6"/>
        <v>0.12385680689835378</v>
      </c>
      <c r="X107" s="49">
        <f t="shared" si="7"/>
        <v>6.1928403449176894</v>
      </c>
    </row>
    <row r="108" spans="10:24" x14ac:dyDescent="0.2">
      <c r="V108" s="20">
        <v>0.33333333333333331</v>
      </c>
      <c r="W108" s="20">
        <f t="shared" si="6"/>
        <v>8.257120459890252E-2</v>
      </c>
      <c r="X108" s="49">
        <f t="shared" si="7"/>
        <v>4.1285602299451263</v>
      </c>
    </row>
    <row r="109" spans="10:24" x14ac:dyDescent="0.2">
      <c r="V109" s="20">
        <v>2</v>
      </c>
      <c r="W109" s="20">
        <f t="shared" si="6"/>
        <v>0.49542722759341512</v>
      </c>
      <c r="X109" s="49">
        <f t="shared" si="7"/>
        <v>24.771361379670758</v>
      </c>
    </row>
    <row r="110" spans="10:24" x14ac:dyDescent="0.2">
      <c r="V110" s="20">
        <v>1</v>
      </c>
      <c r="W110" s="20">
        <f t="shared" si="6"/>
        <v>0.24771361379670756</v>
      </c>
      <c r="X110" s="49">
        <f t="shared" si="7"/>
        <v>12.385680689835379</v>
      </c>
    </row>
    <row r="111" spans="10:24" x14ac:dyDescent="0.2">
      <c r="V111" s="20">
        <v>2</v>
      </c>
      <c r="W111" s="20">
        <f t="shared" si="6"/>
        <v>0.49542722759341512</v>
      </c>
      <c r="X111" s="49">
        <f t="shared" si="7"/>
        <v>24.771361379670758</v>
      </c>
    </row>
    <row r="112" spans="10:24" x14ac:dyDescent="0.2">
      <c r="V112" s="20">
        <v>8</v>
      </c>
      <c r="W112" s="20">
        <f t="shared" si="6"/>
        <v>1.9817089103736605</v>
      </c>
      <c r="X112" s="49">
        <f t="shared" si="7"/>
        <v>99.085445518683031</v>
      </c>
    </row>
    <row r="113" spans="22:24" x14ac:dyDescent="0.2">
      <c r="V113" s="20">
        <v>0.25</v>
      </c>
      <c r="W113" s="20">
        <f t="shared" si="6"/>
        <v>6.192840344917689E-2</v>
      </c>
      <c r="X113" s="49">
        <f t="shared" si="7"/>
        <v>3.0964201724588447</v>
      </c>
    </row>
    <row r="114" spans="22:24" x14ac:dyDescent="0.2">
      <c r="V114" s="20">
        <v>4</v>
      </c>
      <c r="W114" s="20">
        <f t="shared" si="6"/>
        <v>0.99085445518683024</v>
      </c>
      <c r="X114" s="49">
        <f t="shared" si="7"/>
        <v>49.542722759341515</v>
      </c>
    </row>
    <row r="115" spans="22:24" x14ac:dyDescent="0.2">
      <c r="V115" s="20">
        <v>4</v>
      </c>
      <c r="W115" s="20">
        <f t="shared" si="6"/>
        <v>0.99085445518683024</v>
      </c>
      <c r="X115" s="49">
        <f t="shared" si="7"/>
        <v>49.542722759341515</v>
      </c>
    </row>
    <row r="116" spans="22:24" x14ac:dyDescent="0.2">
      <c r="V116" s="20">
        <v>2</v>
      </c>
      <c r="W116" s="20">
        <f t="shared" si="6"/>
        <v>0.49542722759341512</v>
      </c>
      <c r="X116" s="49">
        <f t="shared" si="7"/>
        <v>24.771361379670758</v>
      </c>
    </row>
    <row r="117" spans="22:24" x14ac:dyDescent="0.2">
      <c r="V117" s="20">
        <v>2</v>
      </c>
      <c r="W117" s="20">
        <f t="shared" si="6"/>
        <v>0.49542722759341512</v>
      </c>
      <c r="X117" s="49">
        <f t="shared" si="7"/>
        <v>24.771361379670758</v>
      </c>
    </row>
    <row r="118" spans="22:24" x14ac:dyDescent="0.2">
      <c r="V118" s="20" t="s">
        <v>285</v>
      </c>
      <c r="W118" s="20" t="e">
        <f t="shared" si="6"/>
        <v>#VALUE!</v>
      </c>
      <c r="X118" s="49" t="e">
        <f t="shared" si="7"/>
        <v>#VALUE!</v>
      </c>
    </row>
    <row r="119" spans="22:24" x14ac:dyDescent="0.2">
      <c r="V119" s="20">
        <v>4.7666666666666666</v>
      </c>
      <c r="W119" s="20">
        <f t="shared" si="6"/>
        <v>1.1807682257643062</v>
      </c>
      <c r="X119" s="49">
        <f t="shared" si="7"/>
        <v>59.038411288215308</v>
      </c>
    </row>
    <row r="120" spans="22:24" x14ac:dyDescent="0.2">
      <c r="V120" s="20">
        <v>4</v>
      </c>
      <c r="W120" s="20">
        <f t="shared" si="6"/>
        <v>0.99085445518683024</v>
      </c>
      <c r="X120" s="49">
        <f t="shared" si="7"/>
        <v>49.542722759341515</v>
      </c>
    </row>
    <row r="121" spans="22:24" x14ac:dyDescent="0.2">
      <c r="V121" s="20">
        <v>0.75</v>
      </c>
      <c r="W121" s="20">
        <f t="shared" si="6"/>
        <v>0.18578521034753068</v>
      </c>
      <c r="X121" s="49">
        <f t="shared" si="7"/>
        <v>9.2892605173765332</v>
      </c>
    </row>
    <row r="122" spans="22:24" x14ac:dyDescent="0.2">
      <c r="V122" s="20">
        <v>0.66666666666666663</v>
      </c>
      <c r="W122" s="20">
        <f t="shared" si="6"/>
        <v>0.16514240919780504</v>
      </c>
      <c r="X122" s="49">
        <f t="shared" si="7"/>
        <v>8.2571204598902526</v>
      </c>
    </row>
    <row r="123" spans="22:24" x14ac:dyDescent="0.2">
      <c r="V123" s="20">
        <v>27.5</v>
      </c>
      <c r="W123" s="20">
        <f t="shared" si="6"/>
        <v>6.8121243794094584</v>
      </c>
      <c r="X123" s="49">
        <f t="shared" si="7"/>
        <v>340.60621897047292</v>
      </c>
    </row>
    <row r="124" spans="22:24" x14ac:dyDescent="0.2">
      <c r="V124" s="20">
        <v>1.5</v>
      </c>
      <c r="W124" s="20">
        <f t="shared" si="6"/>
        <v>0.37157042069506135</v>
      </c>
      <c r="X124" s="49">
        <f t="shared" si="7"/>
        <v>18.578521034753066</v>
      </c>
    </row>
    <row r="125" spans="22:24" x14ac:dyDescent="0.2">
      <c r="V125" s="20">
        <v>5</v>
      </c>
      <c r="W125" s="20">
        <f t="shared" si="6"/>
        <v>1.2385680689835379</v>
      </c>
      <c r="X125" s="49">
        <f t="shared" si="7"/>
        <v>61.928403449176898</v>
      </c>
    </row>
    <row r="126" spans="22:24" x14ac:dyDescent="0.2">
      <c r="V126" s="20">
        <v>0.48333333333333334</v>
      </c>
      <c r="W126" s="20">
        <f t="shared" si="6"/>
        <v>0.11972824666840866</v>
      </c>
      <c r="X126" s="49">
        <f t="shared" si="7"/>
        <v>5.9864123334204331</v>
      </c>
    </row>
    <row r="127" spans="22:24" x14ac:dyDescent="0.2">
      <c r="V127" s="20">
        <v>1</v>
      </c>
      <c r="W127" s="20">
        <f t="shared" si="6"/>
        <v>0.24771361379670756</v>
      </c>
      <c r="X127" s="49">
        <f t="shared" si="7"/>
        <v>12.385680689835379</v>
      </c>
    </row>
    <row r="128" spans="22:24" x14ac:dyDescent="0.2">
      <c r="V128" s="20">
        <v>2</v>
      </c>
      <c r="W128" s="20">
        <f t="shared" si="6"/>
        <v>0.49542722759341512</v>
      </c>
      <c r="X128" s="49">
        <f t="shared" si="7"/>
        <v>24.771361379670758</v>
      </c>
    </row>
    <row r="129" spans="22:24" x14ac:dyDescent="0.2">
      <c r="V129" s="20">
        <v>1</v>
      </c>
      <c r="W129" s="20">
        <f t="shared" si="6"/>
        <v>0.24771361379670756</v>
      </c>
      <c r="X129" s="49">
        <f t="shared" si="7"/>
        <v>12.385680689835379</v>
      </c>
    </row>
    <row r="130" spans="22:24" x14ac:dyDescent="0.2">
      <c r="V130" s="20">
        <v>2.5</v>
      </c>
      <c r="W130" s="20">
        <f t="shared" si="6"/>
        <v>0.61928403449176894</v>
      </c>
      <c r="X130" s="49">
        <f t="shared" si="7"/>
        <v>30.964201724588449</v>
      </c>
    </row>
    <row r="131" spans="22:24" x14ac:dyDescent="0.2">
      <c r="V131" s="20">
        <v>0.55555555555555547</v>
      </c>
      <c r="W131" s="20">
        <f t="shared" si="6"/>
        <v>0.13761867433150418</v>
      </c>
      <c r="X131" s="49">
        <f t="shared" si="7"/>
        <v>6.8809337165752087</v>
      </c>
    </row>
    <row r="132" spans="22:24" x14ac:dyDescent="0.2">
      <c r="V132" s="20">
        <v>0.33333333333333331</v>
      </c>
      <c r="W132" s="20">
        <f t="shared" si="6"/>
        <v>8.257120459890252E-2</v>
      </c>
      <c r="X132" s="49">
        <f t="shared" si="7"/>
        <v>4.1285602299451263</v>
      </c>
    </row>
    <row r="133" spans="22:24" x14ac:dyDescent="0.2">
      <c r="V133" s="20">
        <v>0.66666666666666663</v>
      </c>
      <c r="W133" s="20">
        <f t="shared" si="6"/>
        <v>0.16514240919780504</v>
      </c>
      <c r="X133" s="49">
        <f t="shared" si="7"/>
        <v>8.2571204598902526</v>
      </c>
    </row>
    <row r="134" spans="22:24" x14ac:dyDescent="0.2">
      <c r="V134" s="20" t="s">
        <v>285</v>
      </c>
      <c r="W134" s="20" t="e">
        <f t="shared" si="6"/>
        <v>#VALUE!</v>
      </c>
      <c r="X134" s="49" t="e">
        <f t="shared" si="7"/>
        <v>#VALUE!</v>
      </c>
    </row>
    <row r="135" spans="22:24" x14ac:dyDescent="0.2">
      <c r="V135" s="20">
        <v>0.75</v>
      </c>
      <c r="W135" s="20">
        <f t="shared" si="6"/>
        <v>0.18578521034753068</v>
      </c>
      <c r="X135" s="49">
        <f t="shared" si="7"/>
        <v>9.2892605173765332</v>
      </c>
    </row>
    <row r="136" spans="22:24" x14ac:dyDescent="0.2">
      <c r="V136" s="20">
        <v>2</v>
      </c>
      <c r="W136" s="20">
        <f t="shared" si="6"/>
        <v>0.49542722759341512</v>
      </c>
      <c r="X136" s="49">
        <f t="shared" si="7"/>
        <v>24.771361379670758</v>
      </c>
    </row>
    <row r="137" spans="22:24" x14ac:dyDescent="0.2">
      <c r="V137" s="20">
        <v>0.33333333333333331</v>
      </c>
      <c r="W137" s="20">
        <f t="shared" si="6"/>
        <v>8.257120459890252E-2</v>
      </c>
      <c r="X137" s="49">
        <f t="shared" si="7"/>
        <v>4.1285602299451263</v>
      </c>
    </row>
    <row r="138" spans="22:24" x14ac:dyDescent="0.2">
      <c r="V138" s="20">
        <v>0.80555555555555547</v>
      </c>
      <c r="W138" s="20">
        <f t="shared" si="6"/>
        <v>0.19954707778068106</v>
      </c>
      <c r="X138" s="49">
        <f t="shared" si="7"/>
        <v>9.9773538890340525</v>
      </c>
    </row>
    <row r="139" spans="22:24" x14ac:dyDescent="0.2">
      <c r="V139" s="20">
        <v>2.2333333333333334</v>
      </c>
      <c r="W139" s="20">
        <f t="shared" si="6"/>
        <v>0.55322707081264688</v>
      </c>
      <c r="X139" s="49">
        <f t="shared" si="7"/>
        <v>27.661353540632344</v>
      </c>
    </row>
    <row r="140" spans="22:24" x14ac:dyDescent="0.2">
      <c r="V140" s="20">
        <v>7.3666666666666663</v>
      </c>
      <c r="W140" s="20">
        <f t="shared" si="6"/>
        <v>1.8248236216357456</v>
      </c>
      <c r="X140" s="49">
        <f t="shared" si="7"/>
        <v>91.241181081787275</v>
      </c>
    </row>
    <row r="141" spans="22:24" x14ac:dyDescent="0.2">
      <c r="V141" s="20">
        <v>0.33333333333333331</v>
      </c>
      <c r="W141" s="20">
        <f t="shared" si="6"/>
        <v>8.257120459890252E-2</v>
      </c>
      <c r="X141" s="49">
        <f t="shared" si="7"/>
        <v>4.1285602299451263</v>
      </c>
    </row>
    <row r="142" spans="22:24" x14ac:dyDescent="0.2">
      <c r="V142" s="20">
        <v>1</v>
      </c>
      <c r="W142" s="20">
        <f t="shared" si="6"/>
        <v>0.24771361379670756</v>
      </c>
      <c r="X142" s="49">
        <f t="shared" si="7"/>
        <v>12.385680689835379</v>
      </c>
    </row>
    <row r="143" spans="22:24" x14ac:dyDescent="0.2">
      <c r="V143" s="20">
        <v>2.6333333333333333</v>
      </c>
      <c r="W143" s="20">
        <f t="shared" si="6"/>
        <v>0.65231251633132992</v>
      </c>
      <c r="X143" s="49">
        <f t="shared" si="7"/>
        <v>32.615625816566492</v>
      </c>
    </row>
    <row r="144" spans="22:24" x14ac:dyDescent="0.2">
      <c r="V144" s="20">
        <v>2.8666666666666667</v>
      </c>
      <c r="W144" s="20">
        <f t="shared" si="6"/>
        <v>0.71011235955056173</v>
      </c>
      <c r="X144" s="49">
        <f t="shared" si="7"/>
        <v>35.50561797752809</v>
      </c>
    </row>
    <row r="145" spans="22:24" x14ac:dyDescent="0.2">
      <c r="V145" s="20">
        <v>3.3333333333333335</v>
      </c>
      <c r="W145" s="20">
        <f t="shared" si="6"/>
        <v>0.82571204598902526</v>
      </c>
      <c r="X145" s="49">
        <f t="shared" si="7"/>
        <v>41.285602299451263</v>
      </c>
    </row>
    <row r="146" spans="22:24" x14ac:dyDescent="0.2">
      <c r="V146" s="20">
        <v>2</v>
      </c>
      <c r="W146" s="20">
        <f t="shared" si="6"/>
        <v>0.49542722759341512</v>
      </c>
      <c r="X146" s="49">
        <f t="shared" si="7"/>
        <v>24.771361379670758</v>
      </c>
    </row>
    <row r="147" spans="22:24" x14ac:dyDescent="0.2">
      <c r="V147" s="20">
        <v>0.9722222222222221</v>
      </c>
      <c r="W147" s="20">
        <f t="shared" si="6"/>
        <v>0.24083268008013234</v>
      </c>
      <c r="X147" s="49">
        <f t="shared" si="7"/>
        <v>12.041634004006617</v>
      </c>
    </row>
    <row r="148" spans="22:24" x14ac:dyDescent="0.2">
      <c r="V148" s="20">
        <v>5.666666666666667</v>
      </c>
      <c r="W148" s="20">
        <f t="shared" si="6"/>
        <v>1.403710478181343</v>
      </c>
      <c r="X148" s="49">
        <f t="shared" si="7"/>
        <v>70.185523909067143</v>
      </c>
    </row>
    <row r="149" spans="22:24" x14ac:dyDescent="0.2">
      <c r="V149" s="20">
        <v>0.33333333333333331</v>
      </c>
      <c r="W149" s="20">
        <f t="shared" si="6"/>
        <v>8.257120459890252E-2</v>
      </c>
      <c r="X149" s="49">
        <f t="shared" si="7"/>
        <v>4.1285602299451263</v>
      </c>
    </row>
    <row r="150" spans="22:24" x14ac:dyDescent="0.2">
      <c r="V150" s="20">
        <v>4</v>
      </c>
      <c r="W150" s="20">
        <f t="shared" si="6"/>
        <v>0.99085445518683024</v>
      </c>
      <c r="X150" s="49">
        <f t="shared" si="7"/>
        <v>49.542722759341515</v>
      </c>
    </row>
    <row r="151" spans="22:24" x14ac:dyDescent="0.2">
      <c r="V151" s="20">
        <v>1</v>
      </c>
      <c r="W151" s="20">
        <f t="shared" si="6"/>
        <v>0.24771361379670756</v>
      </c>
      <c r="X151" s="49">
        <f t="shared" si="7"/>
        <v>12.385680689835379</v>
      </c>
    </row>
    <row r="152" spans="22:24" x14ac:dyDescent="0.2">
      <c r="V152" s="20">
        <v>2.7666666666666666</v>
      </c>
      <c r="W152" s="20">
        <f t="shared" si="6"/>
        <v>0.68534099817089089</v>
      </c>
      <c r="X152" s="49">
        <f t="shared" si="7"/>
        <v>34.267049908544543</v>
      </c>
    </row>
    <row r="153" spans="22:24" x14ac:dyDescent="0.2">
      <c r="V153" s="20">
        <v>1.6666666666666667</v>
      </c>
      <c r="W153" s="20">
        <f t="shared" si="6"/>
        <v>0.41285602299451263</v>
      </c>
      <c r="X153" s="49">
        <f t="shared" si="7"/>
        <v>20.642801149725631</v>
      </c>
    </row>
    <row r="154" spans="22:24" x14ac:dyDescent="0.2">
      <c r="V154" s="20">
        <v>1.5</v>
      </c>
      <c r="W154" s="20">
        <f t="shared" si="6"/>
        <v>0.37157042069506135</v>
      </c>
      <c r="X154" s="49">
        <f t="shared" si="7"/>
        <v>18.578521034753066</v>
      </c>
    </row>
    <row r="155" spans="22:24" x14ac:dyDescent="0.2">
      <c r="V155" s="20">
        <v>5</v>
      </c>
      <c r="W155" s="20">
        <f t="shared" ref="W155:W171" si="8">V155*$X$86/24</f>
        <v>1.2385680689835379</v>
      </c>
      <c r="X155" s="49">
        <f t="shared" ref="X155:X171" si="9">W155*50</f>
        <v>61.928403449176898</v>
      </c>
    </row>
    <row r="156" spans="22:24" x14ac:dyDescent="0.2">
      <c r="V156" s="20">
        <v>0.5</v>
      </c>
      <c r="W156" s="20">
        <f t="shared" si="8"/>
        <v>0.12385680689835378</v>
      </c>
      <c r="X156" s="49">
        <f t="shared" si="9"/>
        <v>6.1928403449176894</v>
      </c>
    </row>
    <row r="157" spans="22:24" x14ac:dyDescent="0.2">
      <c r="V157" s="20">
        <v>3.3333333333333335</v>
      </c>
      <c r="W157" s="20">
        <f t="shared" si="8"/>
        <v>0.82571204598902526</v>
      </c>
      <c r="X157" s="49">
        <f t="shared" si="9"/>
        <v>41.285602299451263</v>
      </c>
    </row>
    <row r="158" spans="22:24" x14ac:dyDescent="0.2">
      <c r="V158" s="20">
        <v>1.6666666666666667</v>
      </c>
      <c r="W158" s="20">
        <f t="shared" si="8"/>
        <v>0.41285602299451263</v>
      </c>
      <c r="X158" s="49">
        <f t="shared" si="9"/>
        <v>20.642801149725631</v>
      </c>
    </row>
    <row r="159" spans="22:24" x14ac:dyDescent="0.2">
      <c r="V159" s="20">
        <v>0.33333333333333331</v>
      </c>
      <c r="W159" s="20">
        <f t="shared" si="8"/>
        <v>8.257120459890252E-2</v>
      </c>
      <c r="X159" s="49">
        <f t="shared" si="9"/>
        <v>4.1285602299451263</v>
      </c>
    </row>
    <row r="160" spans="22:24" x14ac:dyDescent="0.2">
      <c r="V160" s="20">
        <v>20</v>
      </c>
      <c r="W160" s="20">
        <f t="shared" si="8"/>
        <v>4.9542722759341515</v>
      </c>
      <c r="X160" s="49">
        <f t="shared" si="9"/>
        <v>247.71361379670759</v>
      </c>
    </row>
    <row r="161" spans="22:24" x14ac:dyDescent="0.2">
      <c r="V161" s="20">
        <v>1</v>
      </c>
      <c r="W161" s="20">
        <f t="shared" si="8"/>
        <v>0.24771361379670756</v>
      </c>
      <c r="X161" s="49">
        <f t="shared" si="9"/>
        <v>12.385680689835379</v>
      </c>
    </row>
    <row r="162" spans="22:24" x14ac:dyDescent="0.2">
      <c r="V162" s="20">
        <v>2.5</v>
      </c>
      <c r="W162" s="20">
        <f t="shared" si="8"/>
        <v>0.61928403449176894</v>
      </c>
      <c r="X162" s="49">
        <f t="shared" si="9"/>
        <v>30.964201724588449</v>
      </c>
    </row>
    <row r="163" spans="22:24" x14ac:dyDescent="0.2">
      <c r="V163" s="20">
        <v>1</v>
      </c>
      <c r="W163" s="20">
        <f t="shared" si="8"/>
        <v>0.24771361379670756</v>
      </c>
      <c r="X163" s="49">
        <f t="shared" si="9"/>
        <v>12.385680689835379</v>
      </c>
    </row>
    <row r="164" spans="22:24" x14ac:dyDescent="0.2">
      <c r="V164" s="20">
        <v>0.41666666666666669</v>
      </c>
      <c r="W164" s="20">
        <f t="shared" si="8"/>
        <v>0.10321400574862816</v>
      </c>
      <c r="X164" s="49">
        <f t="shared" si="9"/>
        <v>5.1607002874314079</v>
      </c>
    </row>
    <row r="165" spans="22:24" x14ac:dyDescent="0.2">
      <c r="V165" s="20">
        <v>1</v>
      </c>
      <c r="W165" s="20">
        <f t="shared" si="8"/>
        <v>0.24771361379670756</v>
      </c>
      <c r="X165" s="49">
        <f t="shared" si="9"/>
        <v>12.385680689835379</v>
      </c>
    </row>
    <row r="166" spans="22:24" x14ac:dyDescent="0.2">
      <c r="V166" s="20">
        <v>8</v>
      </c>
      <c r="W166" s="20">
        <f t="shared" si="8"/>
        <v>1.9817089103736605</v>
      </c>
      <c r="X166" s="49">
        <f t="shared" si="9"/>
        <v>99.085445518683031</v>
      </c>
    </row>
    <row r="167" spans="22:24" x14ac:dyDescent="0.2">
      <c r="V167" s="20">
        <v>3.4333333333333331</v>
      </c>
      <c r="W167" s="20">
        <f t="shared" si="8"/>
        <v>0.85048340736869588</v>
      </c>
      <c r="X167" s="49">
        <f t="shared" si="9"/>
        <v>42.524170368434795</v>
      </c>
    </row>
    <row r="168" spans="22:24" x14ac:dyDescent="0.2">
      <c r="V168" s="20">
        <v>4.166666666666667</v>
      </c>
      <c r="W168" s="20">
        <f t="shared" si="8"/>
        <v>1.0321400574862816</v>
      </c>
      <c r="X168" s="49">
        <f t="shared" si="9"/>
        <v>51.607002874314077</v>
      </c>
    </row>
    <row r="169" spans="22:24" x14ac:dyDescent="0.2">
      <c r="V169" s="20">
        <v>1</v>
      </c>
      <c r="W169" s="20">
        <f t="shared" si="8"/>
        <v>0.24771361379670756</v>
      </c>
      <c r="X169" s="49">
        <f t="shared" si="9"/>
        <v>12.385680689835379</v>
      </c>
    </row>
    <row r="170" spans="22:24" x14ac:dyDescent="0.2">
      <c r="V170" s="20">
        <v>1</v>
      </c>
      <c r="W170" s="20">
        <f t="shared" si="8"/>
        <v>0.24771361379670756</v>
      </c>
      <c r="X170" s="49">
        <f t="shared" si="9"/>
        <v>12.385680689835379</v>
      </c>
    </row>
    <row r="171" spans="22:24" x14ac:dyDescent="0.2">
      <c r="V171" s="20">
        <v>0.33333333333333331</v>
      </c>
      <c r="W171" s="20">
        <f t="shared" si="8"/>
        <v>8.257120459890252E-2</v>
      </c>
      <c r="X171" s="49">
        <f t="shared" si="9"/>
        <v>4.1285602299451263</v>
      </c>
    </row>
  </sheetData>
  <mergeCells count="10">
    <mergeCell ref="BS1:BV1"/>
    <mergeCell ref="BF1:BO1"/>
    <mergeCell ref="BP1:BQ1"/>
    <mergeCell ref="AP1:AW1"/>
    <mergeCell ref="AX1:BE1"/>
    <mergeCell ref="B1:I1"/>
    <mergeCell ref="J1:Q1"/>
    <mergeCell ref="R1:Y1"/>
    <mergeCell ref="Z1:AG1"/>
    <mergeCell ref="AH1:AO1"/>
  </mergeCells>
  <phoneticPr fontId="7" type="noConversion"/>
  <conditionalFormatting sqref="CB3:CB84">
    <cfRule type="cellIs" dxfId="95" priority="1" operator="lessThan">
      <formula>$CC$1</formula>
    </cfRule>
  </conditionalFormatting>
  <dataValidations count="1">
    <dataValidation type="list" allowBlank="1" showInputMessage="1" showErrorMessage="1" sqref="K3:K84 C3:C84 BK3:BK84 BG3:BG84 AY3:AY84 AQ3:AQ84 AI3:AI84 AA3:AA84 S3:S84 BS3:BS84" xr:uid="{F271DA4B-5819-1D4A-B7F1-7A3ECBAB2588}">
      <formula1>Staff_First_Name</formula1>
    </dataValidation>
  </dataValidations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DA5C772-20A1-8042-A3DB-D70B9C56F80F}">
          <x14:formula1>
            <xm:f>'Data Validation'!$I$2:$I$10</xm:f>
          </x14:formula1>
          <xm:sqref>AH3 AH80 AH78 AH76 AH74 AH72 AH70 AH68 AH66 AH64 AH62 AH60 AH58 AH56 AH54 AH52 AH50 AH48 AH46 AH44 AH41:AH42 AH39 AH37 AH35 AH33 AH31 AH29 AH27 AH25 AH23 AH21 AH19 AH17 AH15 AH13 AH11 AH9 AH7 AH5 AH82:AH84 B3:B84 J3:J84 R3:R84 Z3:Z84 AP3:AP84 AX3:AX84 BF3:BF84</xm:sqref>
        </x14:dataValidation>
        <x14:dataValidation type="list" allowBlank="1" showInputMessage="1" showErrorMessage="1" xr:uid="{5CD4B8F6-3792-B04D-A6FE-61461120721A}">
          <x14:formula1>
            <xm:f>'Data Validation'!$C$2:$C$6</xm:f>
          </x14:formula1>
          <xm:sqref>D3:D84</xm:sqref>
        </x14:dataValidation>
        <x14:dataValidation type="list" allowBlank="1" showInputMessage="1" showErrorMessage="1" xr:uid="{50E4EBE6-BEC2-8B46-8E93-5170ACB7C7D9}">
          <x14:formula1>
            <xm:f>'Data Validation'!$C$2:$C$7</xm:f>
          </x14:formula1>
          <xm:sqref>AZ3:AZ84 AR3:AR84 AJ3:AJ84 T3:T84 L3:L84</xm:sqref>
        </x14:dataValidation>
        <x14:dataValidation type="list" allowBlank="1" showInputMessage="1" showErrorMessage="1" xr:uid="{62B59689-CB6E-3747-8571-551142F05404}">
          <x14:formula1>
            <xm:f>'Data Validation'!$F$2:$F$16</xm:f>
          </x14:formula1>
          <xm:sqref>BP3:BP84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7A8D7-D4C6-E346-ABB2-C3EE069FE4EB}">
  <sheetPr codeName="Sheet6"/>
  <dimension ref="A1:E10"/>
  <sheetViews>
    <sheetView workbookViewId="0">
      <selection activeCell="J14" sqref="J14"/>
    </sheetView>
  </sheetViews>
  <sheetFormatPr baseColWidth="10" defaultRowHeight="16" x14ac:dyDescent="0.2"/>
  <cols>
    <col min="1" max="1" width="17.33203125" customWidth="1"/>
    <col min="2" max="2" width="17.1640625" customWidth="1"/>
    <col min="3" max="3" width="23.83203125" bestFit="1" customWidth="1"/>
    <col min="4" max="4" width="11.1640625" customWidth="1"/>
  </cols>
  <sheetData>
    <row r="1" spans="1:5" x14ac:dyDescent="0.2">
      <c r="A1" t="s">
        <v>135</v>
      </c>
      <c r="B1" t="s">
        <v>123</v>
      </c>
      <c r="C1" t="s">
        <v>136</v>
      </c>
      <c r="D1" t="s">
        <v>137</v>
      </c>
      <c r="E1" t="s">
        <v>147</v>
      </c>
    </row>
    <row r="2" spans="1:5" x14ac:dyDescent="0.2">
      <c r="A2" t="s">
        <v>128</v>
      </c>
      <c r="B2" t="s">
        <v>130</v>
      </c>
      <c r="C2" t="s">
        <v>130</v>
      </c>
      <c r="D2" s="9" t="s">
        <v>130</v>
      </c>
      <c r="E2" t="s">
        <v>130</v>
      </c>
    </row>
    <row r="3" spans="1:5" x14ac:dyDescent="0.2">
      <c r="A3" t="s">
        <v>129</v>
      </c>
      <c r="B3" t="s">
        <v>130</v>
      </c>
      <c r="C3" t="s">
        <v>130</v>
      </c>
      <c r="D3" s="9" t="s">
        <v>130</v>
      </c>
      <c r="E3" t="s">
        <v>130</v>
      </c>
    </row>
    <row r="4" spans="1:5" x14ac:dyDescent="0.2">
      <c r="A4" t="s">
        <v>118</v>
      </c>
      <c r="B4" t="s">
        <v>133</v>
      </c>
      <c r="C4" t="str">
        <f t="shared" ref="C4:C10" si="0">LOWER(A4)&amp;"@connecttbs.com"</f>
        <v>joanna@connecttbs.com</v>
      </c>
      <c r="D4" s="9">
        <v>10</v>
      </c>
    </row>
    <row r="5" spans="1:5" x14ac:dyDescent="0.2">
      <c r="A5" t="s">
        <v>115</v>
      </c>
      <c r="B5" t="s">
        <v>132</v>
      </c>
      <c r="C5" t="str">
        <f t="shared" si="0"/>
        <v>kathleen@connecttbs.com</v>
      </c>
      <c r="D5" s="9">
        <v>10</v>
      </c>
    </row>
    <row r="6" spans="1:5" x14ac:dyDescent="0.2">
      <c r="A6" t="s">
        <v>116</v>
      </c>
      <c r="B6" t="s">
        <v>131</v>
      </c>
      <c r="C6" t="str">
        <f t="shared" si="0"/>
        <v>kathryn@connecttbs.com</v>
      </c>
      <c r="D6" s="9">
        <v>10</v>
      </c>
    </row>
    <row r="7" spans="1:5" x14ac:dyDescent="0.2">
      <c r="A7" t="s">
        <v>117</v>
      </c>
      <c r="B7" t="s">
        <v>124</v>
      </c>
      <c r="C7" t="str">
        <f t="shared" si="0"/>
        <v>rachel@connecttbs.com</v>
      </c>
      <c r="D7" s="9">
        <v>30</v>
      </c>
    </row>
    <row r="8" spans="1:5" x14ac:dyDescent="0.2">
      <c r="A8" t="s">
        <v>119</v>
      </c>
      <c r="B8" t="s">
        <v>125</v>
      </c>
      <c r="C8" t="str">
        <f t="shared" si="0"/>
        <v>kim@connecttbs.com</v>
      </c>
      <c r="D8" s="9">
        <v>50</v>
      </c>
    </row>
    <row r="9" spans="1:5" x14ac:dyDescent="0.2">
      <c r="A9" t="s">
        <v>126</v>
      </c>
      <c r="B9" t="s">
        <v>127</v>
      </c>
      <c r="C9" t="str">
        <f t="shared" si="0"/>
        <v>laurence@connecttbs.com</v>
      </c>
      <c r="D9" s="9">
        <v>50</v>
      </c>
      <c r="E9" s="7">
        <v>23740</v>
      </c>
    </row>
    <row r="10" spans="1:5" x14ac:dyDescent="0.2">
      <c r="A10" t="s">
        <v>148</v>
      </c>
      <c r="B10" t="s">
        <v>149</v>
      </c>
      <c r="C10" t="str">
        <f t="shared" si="0"/>
        <v>chantelle@connecttbs.com</v>
      </c>
      <c r="D10" s="9">
        <v>50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D289F-EF6A-0647-9692-C0A5A990F7C8}">
  <sheetPr codeName="Sheet7"/>
  <dimension ref="A1:I16"/>
  <sheetViews>
    <sheetView workbookViewId="0">
      <selection activeCell="F2" sqref="F2:F16"/>
    </sheetView>
  </sheetViews>
  <sheetFormatPr baseColWidth="10" defaultRowHeight="16" x14ac:dyDescent="0.2"/>
  <cols>
    <col min="1" max="1" width="18" customWidth="1"/>
    <col min="3" max="3" width="12" customWidth="1"/>
    <col min="6" max="6" width="43.6640625" bestFit="1" customWidth="1"/>
  </cols>
  <sheetData>
    <row r="1" spans="1:9" x14ac:dyDescent="0.2">
      <c r="A1" t="s">
        <v>143</v>
      </c>
      <c r="C1" t="s">
        <v>146</v>
      </c>
      <c r="D1" t="s">
        <v>158</v>
      </c>
      <c r="F1" t="s">
        <v>159</v>
      </c>
      <c r="G1" t="s">
        <v>175</v>
      </c>
      <c r="I1" t="s">
        <v>139</v>
      </c>
    </row>
    <row r="2" spans="1:9" x14ac:dyDescent="0.2">
      <c r="A2" t="s">
        <v>150</v>
      </c>
      <c r="C2" t="s">
        <v>154</v>
      </c>
      <c r="D2" s="13">
        <f>52/12</f>
        <v>4.333333333333333</v>
      </c>
      <c r="E2" s="13"/>
      <c r="F2" s="2" t="s">
        <v>160</v>
      </c>
      <c r="G2" s="8">
        <v>9.09</v>
      </c>
      <c r="I2" t="s">
        <v>145</v>
      </c>
    </row>
    <row r="3" spans="1:9" x14ac:dyDescent="0.2">
      <c r="A3" t="s">
        <v>151</v>
      </c>
      <c r="C3" t="s">
        <v>155</v>
      </c>
      <c r="D3" s="13">
        <f>26/12</f>
        <v>2.1666666666666665</v>
      </c>
      <c r="E3" s="13"/>
      <c r="F3" s="2" t="s">
        <v>161</v>
      </c>
      <c r="G3" s="8">
        <v>17.27</v>
      </c>
      <c r="I3" t="s">
        <v>176</v>
      </c>
    </row>
    <row r="4" spans="1:9" x14ac:dyDescent="0.2">
      <c r="A4" t="s">
        <v>152</v>
      </c>
      <c r="C4" t="s">
        <v>183</v>
      </c>
      <c r="D4" s="13">
        <f>12/12</f>
        <v>1</v>
      </c>
      <c r="E4" s="13"/>
      <c r="F4" s="2" t="s">
        <v>162</v>
      </c>
      <c r="G4" s="8">
        <v>18.18</v>
      </c>
      <c r="I4" t="s">
        <v>177</v>
      </c>
    </row>
    <row r="5" spans="1:9" x14ac:dyDescent="0.2">
      <c r="A5" t="s">
        <v>153</v>
      </c>
      <c r="C5" t="s">
        <v>157</v>
      </c>
      <c r="D5" s="13">
        <f>4/12</f>
        <v>0.33333333333333331</v>
      </c>
      <c r="E5" s="13"/>
      <c r="F5" s="2" t="s">
        <v>163</v>
      </c>
      <c r="G5" s="8">
        <v>36.36</v>
      </c>
      <c r="I5" t="s">
        <v>178</v>
      </c>
    </row>
    <row r="6" spans="1:9" x14ac:dyDescent="0.2">
      <c r="C6" t="s">
        <v>156</v>
      </c>
      <c r="D6" s="13">
        <f>1/12</f>
        <v>8.3333333333333329E-2</v>
      </c>
      <c r="E6" s="13"/>
      <c r="F6" s="2" t="s">
        <v>164</v>
      </c>
      <c r="G6" s="8">
        <v>47.27</v>
      </c>
      <c r="I6" t="s">
        <v>179</v>
      </c>
    </row>
    <row r="7" spans="1:9" x14ac:dyDescent="0.2">
      <c r="C7" t="s">
        <v>114</v>
      </c>
      <c r="D7" s="13">
        <v>0</v>
      </c>
      <c r="E7" s="13"/>
      <c r="F7" s="2" t="s">
        <v>165</v>
      </c>
      <c r="G7" s="8">
        <v>54.4</v>
      </c>
      <c r="I7" t="s">
        <v>180</v>
      </c>
    </row>
    <row r="8" spans="1:9" x14ac:dyDescent="0.2">
      <c r="F8" s="2" t="s">
        <v>166</v>
      </c>
      <c r="G8" s="8">
        <v>65.459999999999994</v>
      </c>
      <c r="I8" t="s">
        <v>181</v>
      </c>
    </row>
    <row r="9" spans="1:9" x14ac:dyDescent="0.2">
      <c r="F9" s="2" t="s">
        <v>167</v>
      </c>
      <c r="G9" s="8">
        <v>90.91</v>
      </c>
      <c r="I9" t="s">
        <v>159</v>
      </c>
    </row>
    <row r="10" spans="1:9" x14ac:dyDescent="0.2">
      <c r="F10" s="2" t="s">
        <v>168</v>
      </c>
      <c r="G10" s="8">
        <v>9.09</v>
      </c>
      <c r="I10" t="s">
        <v>182</v>
      </c>
    </row>
    <row r="11" spans="1:9" x14ac:dyDescent="0.2">
      <c r="F11" s="2" t="s">
        <v>169</v>
      </c>
      <c r="G11" s="8">
        <v>15.91</v>
      </c>
    </row>
    <row r="12" spans="1:9" x14ac:dyDescent="0.2">
      <c r="F12" s="2" t="s">
        <v>170</v>
      </c>
      <c r="G12" s="8">
        <v>22.73</v>
      </c>
    </row>
    <row r="13" spans="1:9" x14ac:dyDescent="0.2">
      <c r="F13" s="2" t="s">
        <v>171</v>
      </c>
      <c r="G13" s="8">
        <v>18.190000000000001</v>
      </c>
    </row>
    <row r="14" spans="1:9" x14ac:dyDescent="0.2">
      <c r="F14" s="2" t="s">
        <v>172</v>
      </c>
      <c r="G14" s="8">
        <v>35.72</v>
      </c>
    </row>
    <row r="15" spans="1:9" x14ac:dyDescent="0.2">
      <c r="F15" s="2" t="s">
        <v>173</v>
      </c>
      <c r="G15" s="8">
        <v>18</v>
      </c>
    </row>
    <row r="16" spans="1:9" x14ac:dyDescent="0.2">
      <c r="F16" s="2" t="s">
        <v>174</v>
      </c>
      <c r="G16" s="8">
        <v>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181DD-27EC-0E43-B7BA-C637E3E96486}">
  <sheetPr codeName="Sheet8"/>
  <dimension ref="A1:B26"/>
  <sheetViews>
    <sheetView workbookViewId="0">
      <selection activeCell="E6" sqref="E6"/>
    </sheetView>
  </sheetViews>
  <sheetFormatPr baseColWidth="10" defaultRowHeight="16" x14ac:dyDescent="0.2"/>
  <cols>
    <col min="1" max="1" width="34.33203125" bestFit="1" customWidth="1"/>
    <col min="2" max="2" width="15" bestFit="1" customWidth="1"/>
  </cols>
  <sheetData>
    <row r="1" spans="1:2" x14ac:dyDescent="0.2">
      <c r="A1" t="s">
        <v>0</v>
      </c>
      <c r="B1" t="s">
        <v>134</v>
      </c>
    </row>
    <row r="2" spans="1:2" x14ac:dyDescent="0.2">
      <c r="A2" s="2" t="s">
        <v>100</v>
      </c>
      <c r="B2">
        <f>COUNTIF('Client Info'!D:D,Industries[[#This Row],[Industry]])</f>
        <v>1</v>
      </c>
    </row>
    <row r="3" spans="1:2" x14ac:dyDescent="0.2">
      <c r="A3" s="2" t="s">
        <v>93</v>
      </c>
      <c r="B3">
        <f>COUNTIF('Client Info'!D:D,Industries[[#This Row],[Industry]])</f>
        <v>4</v>
      </c>
    </row>
    <row r="4" spans="1:2" x14ac:dyDescent="0.2">
      <c r="A4" s="2" t="s">
        <v>102</v>
      </c>
      <c r="B4">
        <f>COUNTIF('Client Info'!D:D,Industries[[#This Row],[Industry]])</f>
        <v>3</v>
      </c>
    </row>
    <row r="5" spans="1:2" x14ac:dyDescent="0.2">
      <c r="A5" s="2" t="s">
        <v>94</v>
      </c>
      <c r="B5">
        <f>COUNTIF('Client Info'!D:D,Industries[[#This Row],[Industry]])</f>
        <v>1</v>
      </c>
    </row>
    <row r="6" spans="1:2" x14ac:dyDescent="0.2">
      <c r="A6" s="2" t="s">
        <v>98</v>
      </c>
      <c r="B6">
        <f>COUNTIF('Client Info'!D:D,Industries[[#This Row],[Industry]])</f>
        <v>3</v>
      </c>
    </row>
    <row r="7" spans="1:2" x14ac:dyDescent="0.2">
      <c r="A7" s="2" t="s">
        <v>113</v>
      </c>
      <c r="B7">
        <f>COUNTIF('Client Info'!D:D,Industries[[#This Row],[Industry]])</f>
        <v>1</v>
      </c>
    </row>
    <row r="8" spans="1:2" x14ac:dyDescent="0.2">
      <c r="A8" s="2" t="s">
        <v>97</v>
      </c>
      <c r="B8">
        <f>COUNTIF('Client Info'!D:D,Industries[[#This Row],[Industry]])</f>
        <v>8</v>
      </c>
    </row>
    <row r="9" spans="1:2" x14ac:dyDescent="0.2">
      <c r="A9" s="2" t="s">
        <v>103</v>
      </c>
      <c r="B9">
        <f>COUNTIF('Client Info'!D:D,Industries[[#This Row],[Industry]])</f>
        <v>12</v>
      </c>
    </row>
    <row r="10" spans="1:2" x14ac:dyDescent="0.2">
      <c r="A10" s="2" t="s">
        <v>101</v>
      </c>
      <c r="B10">
        <f>COUNTIF('Client Info'!D:D,Industries[[#This Row],[Industry]])</f>
        <v>8</v>
      </c>
    </row>
    <row r="11" spans="1:2" x14ac:dyDescent="0.2">
      <c r="A11" s="2" t="s">
        <v>105</v>
      </c>
      <c r="B11">
        <f>COUNTIF('Client Info'!D:D,Industries[[#This Row],[Industry]])</f>
        <v>2</v>
      </c>
    </row>
    <row r="12" spans="1:2" x14ac:dyDescent="0.2">
      <c r="A12" s="2" t="s">
        <v>109</v>
      </c>
      <c r="B12">
        <f>COUNTIF('Client Info'!D:D,Industries[[#This Row],[Industry]])</f>
        <v>1</v>
      </c>
    </row>
    <row r="13" spans="1:2" x14ac:dyDescent="0.2">
      <c r="A13" s="2" t="s">
        <v>112</v>
      </c>
      <c r="B13">
        <f>COUNTIF('Client Info'!D:D,Industries[[#This Row],[Industry]])</f>
        <v>1</v>
      </c>
    </row>
    <row r="14" spans="1:2" x14ac:dyDescent="0.2">
      <c r="A14" s="2" t="s">
        <v>106</v>
      </c>
      <c r="B14">
        <f>COUNTIF('Client Info'!D:D,Industries[[#This Row],[Industry]])</f>
        <v>3</v>
      </c>
    </row>
    <row r="15" spans="1:2" x14ac:dyDescent="0.2">
      <c r="A15" s="2" t="s">
        <v>99</v>
      </c>
      <c r="B15">
        <f>COUNTIF('Client Info'!D:D,Industries[[#This Row],[Industry]])</f>
        <v>3</v>
      </c>
    </row>
    <row r="16" spans="1:2" x14ac:dyDescent="0.2">
      <c r="A16" s="2" t="s">
        <v>104</v>
      </c>
      <c r="B16">
        <f>COUNTIF('Client Info'!D:D,Industries[[#This Row],[Industry]])</f>
        <v>3</v>
      </c>
    </row>
    <row r="17" spans="1:2" x14ac:dyDescent="0.2">
      <c r="A17" s="2" t="s">
        <v>95</v>
      </c>
      <c r="B17">
        <f>COUNTIF('Client Info'!D:D,Industries[[#This Row],[Industry]])</f>
        <v>16</v>
      </c>
    </row>
    <row r="18" spans="1:2" x14ac:dyDescent="0.2">
      <c r="A18" s="2" t="s">
        <v>96</v>
      </c>
      <c r="B18">
        <f>COUNTIF('Client Info'!D:D,Industries[[#This Row],[Industry]])</f>
        <v>4</v>
      </c>
    </row>
    <row r="19" spans="1:2" x14ac:dyDescent="0.2">
      <c r="A19" s="2" t="s">
        <v>110</v>
      </c>
      <c r="B19">
        <f>COUNTIF('Client Info'!D:D,Industries[[#This Row],[Industry]])</f>
        <v>1</v>
      </c>
    </row>
    <row r="20" spans="1:2" x14ac:dyDescent="0.2">
      <c r="A20" s="2" t="s">
        <v>108</v>
      </c>
      <c r="B20">
        <f>COUNTIF('Client Info'!D:D,Industries[[#This Row],[Industry]])</f>
        <v>1</v>
      </c>
    </row>
    <row r="21" spans="1:2" x14ac:dyDescent="0.2">
      <c r="A21" s="2" t="s">
        <v>111</v>
      </c>
      <c r="B21">
        <f>COUNTIF('Client Info'!D:D,Industries[[#This Row],[Industry]])</f>
        <v>1</v>
      </c>
    </row>
    <row r="22" spans="1:2" x14ac:dyDescent="0.2">
      <c r="A22" s="2" t="s">
        <v>142</v>
      </c>
      <c r="B22">
        <f>COUNTIF('Client Info'!D:D,Industries[[#This Row],[Industry]])</f>
        <v>2</v>
      </c>
    </row>
    <row r="23" spans="1:2" x14ac:dyDescent="0.2">
      <c r="A23" s="2" t="s">
        <v>141</v>
      </c>
      <c r="B23">
        <f>COUNTIF('Client Info'!D:D,Industries[[#This Row],[Industry]])</f>
        <v>1</v>
      </c>
    </row>
    <row r="24" spans="1:2" x14ac:dyDescent="0.2">
      <c r="A24" s="2" t="s">
        <v>140</v>
      </c>
      <c r="B24">
        <f>COUNTIF('Client Info'!D:D,Industries[[#This Row],[Industry]])</f>
        <v>1</v>
      </c>
    </row>
    <row r="25" spans="1:2" x14ac:dyDescent="0.2">
      <c r="A25" s="2" t="s">
        <v>107</v>
      </c>
      <c r="B25">
        <f>COUNTIF('Client Info'!D:D,Industries[[#This Row],[Industry]])</f>
        <v>1</v>
      </c>
    </row>
    <row r="26" spans="1:2" x14ac:dyDescent="0.2">
      <c r="A26" s="2" t="s">
        <v>253</v>
      </c>
      <c r="B26" s="30">
        <f>COUNTIF('Client Info'!D:D,Industries[[#This Row],[Industry]])</f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65BA0-12DF-BB46-9ABE-248E8F9DEA58}">
  <sheetPr codeName="Sheet9"/>
  <dimension ref="A1:H821"/>
  <sheetViews>
    <sheetView tabSelected="1" topLeftCell="A74" zoomScale="150" workbookViewId="0">
      <selection activeCell="F82" sqref="F82"/>
    </sheetView>
  </sheetViews>
  <sheetFormatPr baseColWidth="10" defaultRowHeight="16" x14ac:dyDescent="0.2"/>
  <cols>
    <col min="1" max="1" width="36.33203125" style="10" bestFit="1" customWidth="1"/>
    <col min="2" max="2" width="11.83203125" style="10" customWidth="1"/>
    <col min="3" max="3" width="11.83203125" style="28" customWidth="1"/>
    <col min="4" max="4" width="21.33203125" style="28" customWidth="1"/>
    <col min="5" max="7" width="10.83203125" style="10"/>
    <col min="8" max="8" width="45.6640625" style="10" bestFit="1" customWidth="1"/>
    <col min="9" max="9" width="10.83203125" style="10"/>
    <col min="10" max="10" width="45.6640625" style="10" bestFit="1" customWidth="1"/>
    <col min="11" max="16384" width="10.83203125" style="10"/>
  </cols>
  <sheetData>
    <row r="1" spans="1:8" x14ac:dyDescent="0.2">
      <c r="A1" s="10" t="s">
        <v>1</v>
      </c>
      <c r="B1" s="10" t="s">
        <v>271</v>
      </c>
      <c r="C1" s="28" t="s">
        <v>251</v>
      </c>
      <c r="D1" s="28" t="s">
        <v>252</v>
      </c>
      <c r="H1"/>
    </row>
    <row r="2" spans="1:8" x14ac:dyDescent="0.2">
      <c r="A2" s="10" t="s">
        <v>3</v>
      </c>
      <c r="B2" s="10" t="s">
        <v>145</v>
      </c>
      <c r="C2" s="28">
        <f>VLOOKUP(Budgeted_Time[[#This Row],[Client]],Costing[],MATCH("Payroll Team",Costing[#Headers],0),0)</f>
        <v>0</v>
      </c>
      <c r="D2" s="28">
        <f>VLOOKUP(Budgeted_Time[[#This Row],[Client]],Costing[],MATCH("Minutes/Pay Run",Costing[#Headers],0),0)</f>
        <v>0</v>
      </c>
      <c r="H2"/>
    </row>
    <row r="3" spans="1:8" x14ac:dyDescent="0.2">
      <c r="A3" s="10" t="s">
        <v>3</v>
      </c>
      <c r="B3" s="10" t="s">
        <v>176</v>
      </c>
      <c r="C3" s="28">
        <f>VLOOKUP(Budgeted_Time[[#This Row],[Client]],Costing[],MATCH("Super Team",Costing[#Headers],0),0)</f>
        <v>0</v>
      </c>
      <c r="D3" s="28">
        <f>VLOOKUP(Budgeted_Time[[#This Row],[Client]],Costing[],MATCH("Minutes/Super",Costing[#Headers],0),0)</f>
        <v>0</v>
      </c>
      <c r="H3"/>
    </row>
    <row r="4" spans="1:8" x14ac:dyDescent="0.2">
      <c r="A4" s="10" t="s">
        <v>3</v>
      </c>
      <c r="B4" s="10" t="s">
        <v>177</v>
      </c>
      <c r="C4" s="28" t="str">
        <f>VLOOKUP(Budgeted_Time[[#This Row],[Client]],Costing[],MATCH("Bookkeeping Team",Costing[#Headers],0),0)</f>
        <v>Rachel</v>
      </c>
      <c r="D4" s="28">
        <f>VLOOKUP(Budgeted_Time[[#This Row],[Client]],Costing[],MATCH("Minutes/Activity",Costing[#Headers],0),0)</f>
        <v>60</v>
      </c>
      <c r="H4"/>
    </row>
    <row r="5" spans="1:8" x14ac:dyDescent="0.2">
      <c r="A5" s="10" t="s">
        <v>3</v>
      </c>
      <c r="B5" s="10" t="s">
        <v>178</v>
      </c>
      <c r="C5" s="28">
        <f>VLOOKUP(Budgeted_Time[[#This Row],[Client]],Costing[],MATCH("Reporting Team",Costing[#Headers],0),0)</f>
        <v>0</v>
      </c>
      <c r="D5" s="28">
        <f>VLOOKUP(Budgeted_Time[[#This Row],[Client]],Costing[],MATCH("Minutes/Report",Costing[#Headers],0),0)</f>
        <v>0</v>
      </c>
      <c r="H5"/>
    </row>
    <row r="6" spans="1:8" x14ac:dyDescent="0.2">
      <c r="A6" s="10" t="s">
        <v>3</v>
      </c>
      <c r="B6" s="10" t="s">
        <v>179</v>
      </c>
      <c r="C6" s="28" t="str">
        <f>VLOOKUP(Budgeted_Time[[#This Row],[Client]],Costing[],MATCH("BAS 1 Team",Costing[#Headers],0),0)</f>
        <v>Rachel</v>
      </c>
      <c r="D6" s="28">
        <f>VLOOKUP(Budgeted_Time[[#This Row],[Client]],Costing[],MATCH("Minutes/BAS 1",Costing[#Headers],0),0)</f>
        <v>60</v>
      </c>
      <c r="H6"/>
    </row>
    <row r="7" spans="1:8" x14ac:dyDescent="0.2">
      <c r="A7" s="10" t="s">
        <v>3</v>
      </c>
      <c r="B7" s="10" t="s">
        <v>180</v>
      </c>
      <c r="C7" s="28" t="str">
        <f>VLOOKUP(Budgeted_Time[[#This Row],[Client]],Costing[],MATCH("BAS 2 Team",Costing[#Headers],0),0)</f>
        <v>Rachel</v>
      </c>
      <c r="D7" s="28">
        <f>VLOOKUP(Budgeted_Time[[#This Row],[Client]],Costing[],MATCH("Minutes/BAS 2",Costing[#Headers],0),0)</f>
        <v>15</v>
      </c>
      <c r="H7"/>
    </row>
    <row r="8" spans="1:8" x14ac:dyDescent="0.2">
      <c r="A8" s="10" t="s">
        <v>3</v>
      </c>
      <c r="B8" s="10" t="s">
        <v>181</v>
      </c>
      <c r="C8" s="28">
        <f>VLOOKUP(Budgeted_Time[[#This Row],[Client]],Costing[],MATCH("IAS Team",Costing[#Headers],0),0)</f>
        <v>0</v>
      </c>
      <c r="D8" s="28">
        <f>VLOOKUP(Budgeted_Time[[#This Row],[Client]],Costing[],MATCH("Minutes/IAS",Costing[#Headers],0),0)</f>
        <v>0</v>
      </c>
      <c r="H8"/>
    </row>
    <row r="9" spans="1:8" x14ac:dyDescent="0.2">
      <c r="A9" s="10" t="s">
        <v>3</v>
      </c>
      <c r="B9" s="10" t="s">
        <v>261</v>
      </c>
      <c r="C9" s="28" t="str">
        <f>VLOOKUP(Budgeted_Time[[#This Row],[Client]],Costing[],MATCH("EOFY Team 1",Costing[#Headers],0),0)</f>
        <v>Rachel</v>
      </c>
      <c r="D9" s="28">
        <f>VLOOKUP(Budgeted_Time[[#This Row],[Client]],Costing[],MATCH("Time Min 1",Costing[#Headers],0),0)</f>
        <v>45</v>
      </c>
      <c r="H9"/>
    </row>
    <row r="10" spans="1:8" x14ac:dyDescent="0.2">
      <c r="A10" s="10" t="s">
        <v>3</v>
      </c>
      <c r="B10" s="10" t="s">
        <v>279</v>
      </c>
      <c r="C10" s="28" t="str">
        <f>VLOOKUP(Budgeted_Time[[#This Row],[Client]],Costing[],MATCH("EOFY Team 2",Costing[#Headers],0),0)</f>
        <v>Kim</v>
      </c>
      <c r="D10" s="28">
        <f>VLOOKUP(Budgeted_Time[[#This Row],[Client]],Costing[],MATCH("Time Min 2",Costing[#Headers],0),0)</f>
        <v>30</v>
      </c>
      <c r="H10"/>
    </row>
    <row r="11" spans="1:8" x14ac:dyDescent="0.2">
      <c r="A11" s="10" t="s">
        <v>3</v>
      </c>
      <c r="B11" s="10" t="s">
        <v>294</v>
      </c>
      <c r="C11" s="28" t="str">
        <f>VLOOKUP(Budgeted_Time[[#This Row],[Client]],Costing[],MATCH("Onboarding Team",Costing[#Headers],0),0)</f>
        <v>Kim</v>
      </c>
      <c r="D11" s="28">
        <f>VLOOKUP(Budgeted_Time[[#This Row],[Client]],Costing[],MATCH("Onboarding Minutes",Costing[#Headers],0),0)</f>
        <v>357</v>
      </c>
      <c r="H11"/>
    </row>
    <row r="12" spans="1:8" x14ac:dyDescent="0.2">
      <c r="A12" s="10" t="s">
        <v>277</v>
      </c>
      <c r="B12" s="10" t="s">
        <v>145</v>
      </c>
      <c r="C12" s="28" t="str">
        <f>VLOOKUP(Budgeted_Time[[#This Row],[Client]],Costing[],MATCH("Payroll Team",Costing[#Headers],0),0)</f>
        <v>Rachel</v>
      </c>
      <c r="D12" s="28">
        <f>VLOOKUP(Budgeted_Time[[#This Row],[Client]],Costing[],MATCH("Minutes/Pay Run",Costing[#Headers],0),0)</f>
        <v>60</v>
      </c>
      <c r="H12"/>
    </row>
    <row r="13" spans="1:8" x14ac:dyDescent="0.2">
      <c r="A13" s="10" t="s">
        <v>277</v>
      </c>
      <c r="B13" s="10" t="s">
        <v>176</v>
      </c>
      <c r="C13" s="28" t="str">
        <f>VLOOKUP(Budgeted_Time[[#This Row],[Client]],Costing[],MATCH("Super Team",Costing[#Headers],0),0)</f>
        <v>Rachel</v>
      </c>
      <c r="D13" s="28">
        <f>VLOOKUP(Budgeted_Time[[#This Row],[Client]],Costing[],MATCH("Minutes/Super",Costing[#Headers],0),0)</f>
        <v>25</v>
      </c>
      <c r="H13"/>
    </row>
    <row r="14" spans="1:8" x14ac:dyDescent="0.2">
      <c r="A14" s="10" t="s">
        <v>277</v>
      </c>
      <c r="B14" s="10" t="s">
        <v>177</v>
      </c>
      <c r="C14" s="28" t="str">
        <f>VLOOKUP(Budgeted_Time[[#This Row],[Client]],Costing[],MATCH("Bookkeeping Team",Costing[#Headers],0),0)</f>
        <v>Kim</v>
      </c>
      <c r="D14" s="28">
        <f>VLOOKUP(Budgeted_Time[[#This Row],[Client]],Costing[],MATCH("Minutes/Activity",Costing[#Headers],0),0)</f>
        <v>90</v>
      </c>
      <c r="H14"/>
    </row>
    <row r="15" spans="1:8" x14ac:dyDescent="0.2">
      <c r="A15" s="10" t="s">
        <v>277</v>
      </c>
      <c r="B15" s="10" t="s">
        <v>178</v>
      </c>
      <c r="C15" s="28" t="str">
        <f>VLOOKUP(Budgeted_Time[[#This Row],[Client]],Costing[],MATCH("Reporting Team",Costing[#Headers],0),0)</f>
        <v>Rachel</v>
      </c>
      <c r="D15" s="28">
        <f>VLOOKUP(Budgeted_Time[[#This Row],[Client]],Costing[],MATCH("Minutes/Report",Costing[#Headers],0),0)</f>
        <v>20</v>
      </c>
      <c r="H15"/>
    </row>
    <row r="16" spans="1:8" x14ac:dyDescent="0.2">
      <c r="A16" s="10" t="s">
        <v>277</v>
      </c>
      <c r="B16" s="10" t="s">
        <v>179</v>
      </c>
      <c r="C16" s="28" t="str">
        <f>VLOOKUP(Budgeted_Time[[#This Row],[Client]],Costing[],MATCH("BAS 1 Team",Costing[#Headers],0),0)</f>
        <v>Rachel</v>
      </c>
      <c r="D16" s="28">
        <f>VLOOKUP(Budgeted_Time[[#This Row],[Client]],Costing[],MATCH("Minutes/BAS 1",Costing[#Headers],0),0)</f>
        <v>20</v>
      </c>
      <c r="H16"/>
    </row>
    <row r="17" spans="1:8" x14ac:dyDescent="0.2">
      <c r="A17" s="10" t="s">
        <v>277</v>
      </c>
      <c r="B17" s="10" t="s">
        <v>180</v>
      </c>
      <c r="C17" s="28" t="str">
        <f>VLOOKUP(Budgeted_Time[[#This Row],[Client]],Costing[],MATCH("BAS 2 Team",Costing[#Headers],0),0)</f>
        <v>Rachel</v>
      </c>
      <c r="D17" s="28">
        <f>VLOOKUP(Budgeted_Time[[#This Row],[Client]],Costing[],MATCH("Minutes/BAS 2",Costing[#Headers],0),0)</f>
        <v>5</v>
      </c>
      <c r="H17"/>
    </row>
    <row r="18" spans="1:8" x14ac:dyDescent="0.2">
      <c r="A18" s="10" t="s">
        <v>277</v>
      </c>
      <c r="B18" s="10" t="s">
        <v>181</v>
      </c>
      <c r="C18" s="28">
        <f>VLOOKUP(Budgeted_Time[[#This Row],[Client]],Costing[],MATCH("IAS Team",Costing[#Headers],0),0)</f>
        <v>0</v>
      </c>
      <c r="D18" s="28">
        <f>VLOOKUP(Budgeted_Time[[#This Row],[Client]],Costing[],MATCH("Minutes/IAS",Costing[#Headers],0),0)</f>
        <v>0</v>
      </c>
      <c r="H18"/>
    </row>
    <row r="19" spans="1:8" x14ac:dyDescent="0.2">
      <c r="A19" s="10" t="s">
        <v>277</v>
      </c>
      <c r="B19" s="10" t="s">
        <v>261</v>
      </c>
      <c r="C19" s="28" t="str">
        <f>VLOOKUP(Budgeted_Time[[#This Row],[Client]],Costing[],MATCH("EOFY Team 1",Costing[#Headers],0),0)</f>
        <v>Rachel</v>
      </c>
      <c r="D19" s="28">
        <f>VLOOKUP(Budgeted_Time[[#This Row],[Client]],Costing[],MATCH("Time Min 1",Costing[#Headers],0),0)</f>
        <v>120</v>
      </c>
      <c r="H19"/>
    </row>
    <row r="20" spans="1:8" x14ac:dyDescent="0.2">
      <c r="A20" s="10" t="s">
        <v>277</v>
      </c>
      <c r="B20" s="10" t="s">
        <v>279</v>
      </c>
      <c r="C20" s="28" t="str">
        <f>VLOOKUP(Budgeted_Time[[#This Row],[Client]],Costing[],MATCH("EOFY Team 2",Costing[#Headers],0),0)</f>
        <v>Kim</v>
      </c>
      <c r="D20" s="28">
        <f>VLOOKUP(Budgeted_Time[[#This Row],[Client]],Costing[],MATCH("Time Min 2",Costing[#Headers],0),0)</f>
        <v>120</v>
      </c>
      <c r="H20"/>
    </row>
    <row r="21" spans="1:8" x14ac:dyDescent="0.2">
      <c r="A21" s="10" t="s">
        <v>277</v>
      </c>
      <c r="B21" s="10" t="s">
        <v>294</v>
      </c>
      <c r="C21" s="28" t="str">
        <f>VLOOKUP(Budgeted_Time[[#This Row],[Client]],Costing[],MATCH("Onboarding Team",Costing[#Headers],0),0)</f>
        <v>Kim</v>
      </c>
      <c r="D21" s="28">
        <f>VLOOKUP(Budgeted_Time[[#This Row],[Client]],Costing[],MATCH("Onboarding Minutes",Costing[#Headers],0),0)</f>
        <v>535.5</v>
      </c>
      <c r="H21"/>
    </row>
    <row r="22" spans="1:8" x14ac:dyDescent="0.2">
      <c r="A22" s="10" t="s">
        <v>4</v>
      </c>
      <c r="B22" s="10" t="s">
        <v>145</v>
      </c>
      <c r="C22" s="28">
        <f>VLOOKUP(Budgeted_Time[[#This Row],[Client]],Costing[],MATCH("Payroll Team",Costing[#Headers],0),0)</f>
        <v>0</v>
      </c>
      <c r="D22" s="28">
        <f>VLOOKUP(Budgeted_Time[[#This Row],[Client]],Costing[],MATCH("Minutes/Pay Run",Costing[#Headers],0),0)</f>
        <v>0</v>
      </c>
      <c r="H22"/>
    </row>
    <row r="23" spans="1:8" x14ac:dyDescent="0.2">
      <c r="A23" s="10" t="s">
        <v>4</v>
      </c>
      <c r="B23" s="10" t="s">
        <v>176</v>
      </c>
      <c r="C23" s="28" t="str">
        <f>VLOOKUP(Budgeted_Time[[#This Row],[Client]],Costing[],MATCH("Super Team",Costing[#Headers],0),0)</f>
        <v>Joanna</v>
      </c>
      <c r="D23" s="28">
        <f>VLOOKUP(Budgeted_Time[[#This Row],[Client]],Costing[],MATCH("Minutes/Super",Costing[#Headers],0),0)</f>
        <v>30</v>
      </c>
      <c r="H23"/>
    </row>
    <row r="24" spans="1:8" x14ac:dyDescent="0.2">
      <c r="A24" s="10" t="s">
        <v>4</v>
      </c>
      <c r="B24" s="10" t="s">
        <v>177</v>
      </c>
      <c r="C24" s="28" t="str">
        <f>VLOOKUP(Budgeted_Time[[#This Row],[Client]],Costing[],MATCH("Bookkeeping Team",Costing[#Headers],0),0)</f>
        <v>Joanna</v>
      </c>
      <c r="D24" s="28">
        <f>VLOOKUP(Budgeted_Time[[#This Row],[Client]],Costing[],MATCH("Minutes/Activity",Costing[#Headers],0),0)</f>
        <v>150</v>
      </c>
      <c r="H24"/>
    </row>
    <row r="25" spans="1:8" x14ac:dyDescent="0.2">
      <c r="A25" s="10" t="s">
        <v>4</v>
      </c>
      <c r="B25" s="10" t="s">
        <v>178</v>
      </c>
      <c r="C25" s="28" t="str">
        <f>VLOOKUP(Budgeted_Time[[#This Row],[Client]],Costing[],MATCH("Reporting Team",Costing[#Headers],0),0)</f>
        <v>Kim</v>
      </c>
      <c r="D25" s="28">
        <f>VLOOKUP(Budgeted_Time[[#This Row],[Client]],Costing[],MATCH("Minutes/Report",Costing[#Headers],0),0)</f>
        <v>20</v>
      </c>
      <c r="H25"/>
    </row>
    <row r="26" spans="1:8" x14ac:dyDescent="0.2">
      <c r="A26" s="10" t="s">
        <v>4</v>
      </c>
      <c r="B26" s="10" t="s">
        <v>179</v>
      </c>
      <c r="C26" s="28" t="str">
        <f>VLOOKUP(Budgeted_Time[[#This Row],[Client]],Costing[],MATCH("BAS 1 Team",Costing[#Headers],0),0)</f>
        <v>Joanna</v>
      </c>
      <c r="D26" s="28">
        <f>VLOOKUP(Budgeted_Time[[#This Row],[Client]],Costing[],MATCH("Minutes/BAS 1",Costing[#Headers],0),0)</f>
        <v>60</v>
      </c>
      <c r="H26"/>
    </row>
    <row r="27" spans="1:8" x14ac:dyDescent="0.2">
      <c r="A27" s="10" t="s">
        <v>4</v>
      </c>
      <c r="B27" s="10" t="s">
        <v>180</v>
      </c>
      <c r="C27" s="28" t="str">
        <f>VLOOKUP(Budgeted_Time[[#This Row],[Client]],Costing[],MATCH("BAS 2 Team",Costing[#Headers],0),0)</f>
        <v>Rachel</v>
      </c>
      <c r="D27" s="28">
        <f>VLOOKUP(Budgeted_Time[[#This Row],[Client]],Costing[],MATCH("Minutes/BAS 2",Costing[#Headers],0),0)</f>
        <v>15</v>
      </c>
      <c r="H27"/>
    </row>
    <row r="28" spans="1:8" x14ac:dyDescent="0.2">
      <c r="A28" s="10" t="s">
        <v>4</v>
      </c>
      <c r="B28" s="10" t="s">
        <v>181</v>
      </c>
      <c r="C28" s="28">
        <f>VLOOKUP(Budgeted_Time[[#This Row],[Client]],Costing[],MATCH("IAS Team",Costing[#Headers],0),0)</f>
        <v>0</v>
      </c>
      <c r="D28" s="28">
        <f>VLOOKUP(Budgeted_Time[[#This Row],[Client]],Costing[],MATCH("Minutes/IAS",Costing[#Headers],0),0)</f>
        <v>0</v>
      </c>
      <c r="H28"/>
    </row>
    <row r="29" spans="1:8" x14ac:dyDescent="0.2">
      <c r="A29" s="10" t="s">
        <v>4</v>
      </c>
      <c r="B29" s="10" t="s">
        <v>261</v>
      </c>
      <c r="C29" s="28" t="str">
        <f>VLOOKUP(Budgeted_Time[[#This Row],[Client]],Costing[],MATCH("EOFY Team 1",Costing[#Headers],0),0)</f>
        <v>Joanna</v>
      </c>
      <c r="D29" s="28">
        <f>VLOOKUP(Budgeted_Time[[#This Row],[Client]],Costing[],MATCH("Time Min 1",Costing[#Headers],0),0)</f>
        <v>180</v>
      </c>
      <c r="H29"/>
    </row>
    <row r="30" spans="1:8" x14ac:dyDescent="0.2">
      <c r="A30" s="10" t="s">
        <v>4</v>
      </c>
      <c r="B30" s="10" t="s">
        <v>279</v>
      </c>
      <c r="C30" s="28" t="str">
        <f>VLOOKUP(Budgeted_Time[[#This Row],[Client]],Costing[],MATCH("EOFY Team 2",Costing[#Headers],0),0)</f>
        <v>Kim</v>
      </c>
      <c r="D30" s="28">
        <f>VLOOKUP(Budgeted_Time[[#This Row],[Client]],Costing[],MATCH("Time Min 2",Costing[#Headers],0),0)</f>
        <v>120</v>
      </c>
      <c r="H30"/>
    </row>
    <row r="31" spans="1:8" x14ac:dyDescent="0.2">
      <c r="A31" s="10" t="s">
        <v>4</v>
      </c>
      <c r="B31" s="10" t="s">
        <v>294</v>
      </c>
      <c r="C31" s="28" t="str">
        <f>VLOOKUP(Budgeted_Time[[#This Row],[Client]],Costing[],MATCH("Onboarding Team",Costing[#Headers],0),0)</f>
        <v>Kim</v>
      </c>
      <c r="D31" s="28">
        <f>VLOOKUP(Budgeted_Time[[#This Row],[Client]],Costing[],MATCH("Onboarding Minutes",Costing[#Headers],0),0)</f>
        <v>892.5</v>
      </c>
      <c r="H31"/>
    </row>
    <row r="32" spans="1:8" x14ac:dyDescent="0.2">
      <c r="A32" s="10" t="s">
        <v>5</v>
      </c>
      <c r="B32" s="10" t="s">
        <v>145</v>
      </c>
      <c r="C32" s="28">
        <f>VLOOKUP(Budgeted_Time[[#This Row],[Client]],Costing[],MATCH("Payroll Team",Costing[#Headers],0),0)</f>
        <v>0</v>
      </c>
      <c r="D32" s="28">
        <f>VLOOKUP(Budgeted_Time[[#This Row],[Client]],Costing[],MATCH("Minutes/Pay Run",Costing[#Headers],0),0)</f>
        <v>0</v>
      </c>
      <c r="H32"/>
    </row>
    <row r="33" spans="1:8" x14ac:dyDescent="0.2">
      <c r="A33" s="10" t="s">
        <v>5</v>
      </c>
      <c r="B33" s="10" t="s">
        <v>176</v>
      </c>
      <c r="C33" s="28">
        <f>VLOOKUP(Budgeted_Time[[#This Row],[Client]],Costing[],MATCH("Super Team",Costing[#Headers],0),0)</f>
        <v>0</v>
      </c>
      <c r="D33" s="28">
        <f>VLOOKUP(Budgeted_Time[[#This Row],[Client]],Costing[],MATCH("Minutes/Super",Costing[#Headers],0),0)</f>
        <v>0</v>
      </c>
      <c r="H33"/>
    </row>
    <row r="34" spans="1:8" x14ac:dyDescent="0.2">
      <c r="A34" s="10" t="s">
        <v>5</v>
      </c>
      <c r="B34" s="10" t="s">
        <v>177</v>
      </c>
      <c r="C34" s="28" t="str">
        <f>VLOOKUP(Budgeted_Time[[#This Row],[Client]],Costing[],MATCH("Bookkeeping Team",Costing[#Headers],0),0)</f>
        <v>Rachel</v>
      </c>
      <c r="D34" s="28">
        <f>VLOOKUP(Budgeted_Time[[#This Row],[Client]],Costing[],MATCH("Minutes/Activity",Costing[#Headers],0),0)</f>
        <v>75</v>
      </c>
      <c r="H34"/>
    </row>
    <row r="35" spans="1:8" x14ac:dyDescent="0.2">
      <c r="A35" s="10" t="s">
        <v>5</v>
      </c>
      <c r="B35" s="10" t="s">
        <v>178</v>
      </c>
      <c r="C35" s="28" t="str">
        <f>VLOOKUP(Budgeted_Time[[#This Row],[Client]],Costing[],MATCH("Reporting Team",Costing[#Headers],0),0)</f>
        <v>Kim</v>
      </c>
      <c r="D35" s="28">
        <f>VLOOKUP(Budgeted_Time[[#This Row],[Client]],Costing[],MATCH("Minutes/Report",Costing[#Headers],0),0)</f>
        <v>20</v>
      </c>
      <c r="H35"/>
    </row>
    <row r="36" spans="1:8" x14ac:dyDescent="0.2">
      <c r="A36" s="10" t="s">
        <v>5</v>
      </c>
      <c r="B36" s="10" t="s">
        <v>179</v>
      </c>
      <c r="C36" s="28" t="str">
        <f>VLOOKUP(Budgeted_Time[[#This Row],[Client]],Costing[],MATCH("BAS 1 Team",Costing[#Headers],0),0)</f>
        <v>Rachel</v>
      </c>
      <c r="D36" s="28">
        <f>VLOOKUP(Budgeted_Time[[#This Row],[Client]],Costing[],MATCH("Minutes/BAS 1",Costing[#Headers],0),0)</f>
        <v>60</v>
      </c>
      <c r="H36"/>
    </row>
    <row r="37" spans="1:8" x14ac:dyDescent="0.2">
      <c r="A37" s="10" t="s">
        <v>5</v>
      </c>
      <c r="B37" s="10" t="s">
        <v>180</v>
      </c>
      <c r="C37" s="28" t="str">
        <f>VLOOKUP(Budgeted_Time[[#This Row],[Client]],Costing[],MATCH("BAS 2 Team",Costing[#Headers],0),0)</f>
        <v>Rachel</v>
      </c>
      <c r="D37" s="28">
        <f>VLOOKUP(Budgeted_Time[[#This Row],[Client]],Costing[],MATCH("Minutes/BAS 2",Costing[#Headers],0),0)</f>
        <v>15</v>
      </c>
      <c r="H37"/>
    </row>
    <row r="38" spans="1:8" x14ac:dyDescent="0.2">
      <c r="A38" s="10" t="s">
        <v>5</v>
      </c>
      <c r="B38" s="10" t="s">
        <v>181</v>
      </c>
      <c r="C38" s="28">
        <f>VLOOKUP(Budgeted_Time[[#This Row],[Client]],Costing[],MATCH("IAS Team",Costing[#Headers],0),0)</f>
        <v>0</v>
      </c>
      <c r="D38" s="28">
        <f>VLOOKUP(Budgeted_Time[[#This Row],[Client]],Costing[],MATCH("Minutes/IAS",Costing[#Headers],0),0)</f>
        <v>0</v>
      </c>
      <c r="H38"/>
    </row>
    <row r="39" spans="1:8" x14ac:dyDescent="0.2">
      <c r="A39" s="10" t="s">
        <v>5</v>
      </c>
      <c r="B39" s="10" t="s">
        <v>261</v>
      </c>
      <c r="C39" s="28" t="str">
        <f>VLOOKUP(Budgeted_Time[[#This Row],[Client]],Costing[],MATCH("EOFY Team 1",Costing[#Headers],0),0)</f>
        <v>Rachel</v>
      </c>
      <c r="D39" s="28">
        <f>VLOOKUP(Budgeted_Time[[#This Row],[Client]],Costing[],MATCH("Time Min 1",Costing[#Headers],0),0)</f>
        <v>120</v>
      </c>
      <c r="H39"/>
    </row>
    <row r="40" spans="1:8" x14ac:dyDescent="0.2">
      <c r="A40" s="10" t="s">
        <v>5</v>
      </c>
      <c r="B40" s="10" t="s">
        <v>279</v>
      </c>
      <c r="C40" s="28" t="str">
        <f>VLOOKUP(Budgeted_Time[[#This Row],[Client]],Costing[],MATCH("EOFY Team 2",Costing[#Headers],0),0)</f>
        <v>Kim</v>
      </c>
      <c r="D40" s="28">
        <f>VLOOKUP(Budgeted_Time[[#This Row],[Client]],Costing[],MATCH("Time Min 2",Costing[#Headers],0),0)</f>
        <v>120</v>
      </c>
      <c r="H40"/>
    </row>
    <row r="41" spans="1:8" x14ac:dyDescent="0.2">
      <c r="A41" s="10" t="s">
        <v>5</v>
      </c>
      <c r="B41" s="10" t="s">
        <v>294</v>
      </c>
      <c r="C41" s="28" t="str">
        <f>VLOOKUP(Budgeted_Time[[#This Row],[Client]],Costing[],MATCH("Onboarding Team",Costing[#Headers],0),0)</f>
        <v>Kim</v>
      </c>
      <c r="D41" s="28">
        <f>VLOOKUP(Budgeted_Time[[#This Row],[Client]],Costing[],MATCH("Onboarding Minutes",Costing[#Headers],0),0)</f>
        <v>446.25</v>
      </c>
      <c r="H41"/>
    </row>
    <row r="42" spans="1:8" x14ac:dyDescent="0.2">
      <c r="A42" s="10" t="s">
        <v>6</v>
      </c>
      <c r="B42" s="10" t="s">
        <v>145</v>
      </c>
      <c r="C42" s="28">
        <f>VLOOKUP(Budgeted_Time[[#This Row],[Client]],Costing[],MATCH("Payroll Team",Costing[#Headers],0),0)</f>
        <v>0</v>
      </c>
      <c r="D42" s="28">
        <f>VLOOKUP(Budgeted_Time[[#This Row],[Client]],Costing[],MATCH("Minutes/Pay Run",Costing[#Headers],0),0)</f>
        <v>0</v>
      </c>
      <c r="H42"/>
    </row>
    <row r="43" spans="1:8" x14ac:dyDescent="0.2">
      <c r="A43" s="10" t="s">
        <v>6</v>
      </c>
      <c r="B43" s="10" t="s">
        <v>176</v>
      </c>
      <c r="C43" s="28">
        <f>VLOOKUP(Budgeted_Time[[#This Row],[Client]],Costing[],MATCH("Super Team",Costing[#Headers],0),0)</f>
        <v>0</v>
      </c>
      <c r="D43" s="28">
        <f>VLOOKUP(Budgeted_Time[[#This Row],[Client]],Costing[],MATCH("Minutes/Super",Costing[#Headers],0),0)</f>
        <v>0</v>
      </c>
      <c r="H43"/>
    </row>
    <row r="44" spans="1:8" x14ac:dyDescent="0.2">
      <c r="A44" s="10" t="s">
        <v>6</v>
      </c>
      <c r="B44" s="10" t="s">
        <v>177</v>
      </c>
      <c r="C44" s="28" t="str">
        <f>VLOOKUP(Budgeted_Time[[#This Row],[Client]],Costing[],MATCH("Bookkeeping Team",Costing[#Headers],0),0)</f>
        <v>Kathryn</v>
      </c>
      <c r="D44" s="28">
        <f>VLOOKUP(Budgeted_Time[[#This Row],[Client]],Costing[],MATCH("Minutes/Activity",Costing[#Headers],0),0)</f>
        <v>120</v>
      </c>
      <c r="H44"/>
    </row>
    <row r="45" spans="1:8" x14ac:dyDescent="0.2">
      <c r="A45" s="10" t="s">
        <v>6</v>
      </c>
      <c r="B45" s="10" t="s">
        <v>178</v>
      </c>
      <c r="C45" s="28" t="str">
        <f>VLOOKUP(Budgeted_Time[[#This Row],[Client]],Costing[],MATCH("Reporting Team",Costing[#Headers],0),0)</f>
        <v>Kim</v>
      </c>
      <c r="D45" s="28">
        <f>VLOOKUP(Budgeted_Time[[#This Row],[Client]],Costing[],MATCH("Minutes/Report",Costing[#Headers],0),0)</f>
        <v>15</v>
      </c>
      <c r="H45"/>
    </row>
    <row r="46" spans="1:8" x14ac:dyDescent="0.2">
      <c r="A46" s="10" t="s">
        <v>6</v>
      </c>
      <c r="B46" s="10" t="s">
        <v>179</v>
      </c>
      <c r="C46" s="28" t="str">
        <f>VLOOKUP(Budgeted_Time[[#This Row],[Client]],Costing[],MATCH("BAS 1 Team",Costing[#Headers],0),0)</f>
        <v>Kathryn</v>
      </c>
      <c r="D46" s="28">
        <f>VLOOKUP(Budgeted_Time[[#This Row],[Client]],Costing[],MATCH("Minutes/BAS 1",Costing[#Headers],0),0)</f>
        <v>60</v>
      </c>
      <c r="H46"/>
    </row>
    <row r="47" spans="1:8" x14ac:dyDescent="0.2">
      <c r="A47" s="10" t="s">
        <v>6</v>
      </c>
      <c r="B47" s="10" t="s">
        <v>180</v>
      </c>
      <c r="C47" s="28" t="str">
        <f>VLOOKUP(Budgeted_Time[[#This Row],[Client]],Costing[],MATCH("BAS 2 Team",Costing[#Headers],0),0)</f>
        <v>Rachel</v>
      </c>
      <c r="D47" s="28">
        <f>VLOOKUP(Budgeted_Time[[#This Row],[Client]],Costing[],MATCH("Minutes/BAS 2",Costing[#Headers],0),0)</f>
        <v>15</v>
      </c>
      <c r="H47"/>
    </row>
    <row r="48" spans="1:8" x14ac:dyDescent="0.2">
      <c r="A48" s="10" t="s">
        <v>6</v>
      </c>
      <c r="B48" s="10" t="s">
        <v>181</v>
      </c>
      <c r="C48" s="28">
        <f>VLOOKUP(Budgeted_Time[[#This Row],[Client]],Costing[],MATCH("IAS Team",Costing[#Headers],0),0)</f>
        <v>0</v>
      </c>
      <c r="D48" s="28">
        <f>VLOOKUP(Budgeted_Time[[#This Row],[Client]],Costing[],MATCH("Minutes/IAS",Costing[#Headers],0),0)</f>
        <v>0</v>
      </c>
      <c r="H48"/>
    </row>
    <row r="49" spans="1:8" x14ac:dyDescent="0.2">
      <c r="A49" s="10" t="s">
        <v>6</v>
      </c>
      <c r="B49" s="10" t="s">
        <v>261</v>
      </c>
      <c r="C49" s="28" t="str">
        <f>VLOOKUP(Budgeted_Time[[#This Row],[Client]],Costing[],MATCH("EOFY Team 1",Costing[#Headers],0),0)</f>
        <v>Kathleen</v>
      </c>
      <c r="D49" s="28">
        <f>VLOOKUP(Budgeted_Time[[#This Row],[Client]],Costing[],MATCH("Time Min 1",Costing[#Headers],0),0)</f>
        <v>60</v>
      </c>
      <c r="H49"/>
    </row>
    <row r="50" spans="1:8" x14ac:dyDescent="0.2">
      <c r="A50" s="10" t="s">
        <v>6</v>
      </c>
      <c r="B50" s="10" t="s">
        <v>279</v>
      </c>
      <c r="C50" s="28" t="str">
        <f>VLOOKUP(Budgeted_Time[[#This Row],[Client]],Costing[],MATCH("EOFY Team 2",Costing[#Headers],0),0)</f>
        <v>Kim</v>
      </c>
      <c r="D50" s="28">
        <f>VLOOKUP(Budgeted_Time[[#This Row],[Client]],Costing[],MATCH("Time Min 2",Costing[#Headers],0),0)</f>
        <v>30</v>
      </c>
      <c r="H50"/>
    </row>
    <row r="51" spans="1:8" x14ac:dyDescent="0.2">
      <c r="A51" s="10" t="s">
        <v>6</v>
      </c>
      <c r="B51" s="10" t="s">
        <v>294</v>
      </c>
      <c r="C51" s="28" t="str">
        <f>VLOOKUP(Budgeted_Time[[#This Row],[Client]],Costing[],MATCH("Onboarding Team",Costing[#Headers],0),0)</f>
        <v>Kim</v>
      </c>
      <c r="D51" s="28">
        <f>VLOOKUP(Budgeted_Time[[#This Row],[Client]],Costing[],MATCH("Onboarding Minutes",Costing[#Headers],0),0)</f>
        <v>714</v>
      </c>
      <c r="H51"/>
    </row>
    <row r="52" spans="1:8" x14ac:dyDescent="0.2">
      <c r="A52" s="10" t="s">
        <v>283</v>
      </c>
      <c r="B52" s="10" t="s">
        <v>145</v>
      </c>
      <c r="C52" s="28">
        <f>VLOOKUP(Budgeted_Time[[#This Row],[Client]],Costing[],MATCH("Payroll Team",Costing[#Headers],0),0)</f>
        <v>0</v>
      </c>
      <c r="D52" s="28">
        <f>VLOOKUP(Budgeted_Time[[#This Row],[Client]],Costing[],MATCH("Minutes/Pay Run",Costing[#Headers],0),0)</f>
        <v>0</v>
      </c>
      <c r="H52"/>
    </row>
    <row r="53" spans="1:8" x14ac:dyDescent="0.2">
      <c r="A53" s="10" t="s">
        <v>283</v>
      </c>
      <c r="B53" s="10" t="s">
        <v>176</v>
      </c>
      <c r="C53" s="28">
        <f>VLOOKUP(Budgeted_Time[[#This Row],[Client]],Costing[],MATCH("Super Team",Costing[#Headers],0),0)</f>
        <v>0</v>
      </c>
      <c r="D53" s="28">
        <f>VLOOKUP(Budgeted_Time[[#This Row],[Client]],Costing[],MATCH("Minutes/Super",Costing[#Headers],0),0)</f>
        <v>0</v>
      </c>
      <c r="H53"/>
    </row>
    <row r="54" spans="1:8" x14ac:dyDescent="0.2">
      <c r="A54" s="10" t="s">
        <v>283</v>
      </c>
      <c r="B54" s="10" t="s">
        <v>177</v>
      </c>
      <c r="C54" s="28">
        <f>VLOOKUP(Budgeted_Time[[#This Row],[Client]],Costing[],MATCH("Bookkeeping Team",Costing[#Headers],0),0)</f>
        <v>0</v>
      </c>
      <c r="D54" s="28">
        <f>VLOOKUP(Budgeted_Time[[#This Row],[Client]],Costing[],MATCH("Minutes/Activity",Costing[#Headers],0),0)</f>
        <v>0</v>
      </c>
      <c r="H54"/>
    </row>
    <row r="55" spans="1:8" x14ac:dyDescent="0.2">
      <c r="A55" s="10" t="s">
        <v>283</v>
      </c>
      <c r="B55" s="10" t="s">
        <v>178</v>
      </c>
      <c r="C55" s="28">
        <f>VLOOKUP(Budgeted_Time[[#This Row],[Client]],Costing[],MATCH("Reporting Team",Costing[#Headers],0),0)</f>
        <v>0</v>
      </c>
      <c r="D55" s="28">
        <f>VLOOKUP(Budgeted_Time[[#This Row],[Client]],Costing[],MATCH("Minutes/Report",Costing[#Headers],0),0)</f>
        <v>0</v>
      </c>
      <c r="H55"/>
    </row>
    <row r="56" spans="1:8" x14ac:dyDescent="0.2">
      <c r="A56" s="10" t="s">
        <v>283</v>
      </c>
      <c r="B56" s="10" t="s">
        <v>179</v>
      </c>
      <c r="C56" s="28" t="str">
        <f>VLOOKUP(Budgeted_Time[[#This Row],[Client]],Costing[],MATCH("BAS 1 Team",Costing[#Headers],0),0)</f>
        <v>Kim</v>
      </c>
      <c r="D56" s="28">
        <f>VLOOKUP(Budgeted_Time[[#This Row],[Client]],Costing[],MATCH("Minutes/BAS 1",Costing[#Headers],0),0)</f>
        <v>120</v>
      </c>
      <c r="H56"/>
    </row>
    <row r="57" spans="1:8" x14ac:dyDescent="0.2">
      <c r="A57" s="10" t="s">
        <v>283</v>
      </c>
      <c r="B57" s="10" t="s">
        <v>180</v>
      </c>
      <c r="C57" s="28" t="str">
        <f>VLOOKUP(Budgeted_Time[[#This Row],[Client]],Costing[],MATCH("BAS 2 Team",Costing[#Headers],0),0)</f>
        <v>Rachel</v>
      </c>
      <c r="D57" s="28">
        <f>VLOOKUP(Budgeted_Time[[#This Row],[Client]],Costing[],MATCH("Minutes/BAS 2",Costing[#Headers],0),0)</f>
        <v>15</v>
      </c>
      <c r="H57"/>
    </row>
    <row r="58" spans="1:8" x14ac:dyDescent="0.2">
      <c r="A58" s="10" t="s">
        <v>283</v>
      </c>
      <c r="B58" s="10" t="s">
        <v>181</v>
      </c>
      <c r="C58" s="28" t="str">
        <f>VLOOKUP(Budgeted_Time[[#This Row],[Client]],Costing[],MATCH("IAS Team",Costing[#Headers],0),0)</f>
        <v>Rachel</v>
      </c>
      <c r="D58" s="28">
        <f>VLOOKUP(Budgeted_Time[[#This Row],[Client]],Costing[],MATCH("Minutes/IAS",Costing[#Headers],0),0)</f>
        <v>30</v>
      </c>
      <c r="H58"/>
    </row>
    <row r="59" spans="1:8" x14ac:dyDescent="0.2">
      <c r="A59" s="10" t="s">
        <v>283</v>
      </c>
      <c r="B59" s="10" t="s">
        <v>261</v>
      </c>
      <c r="C59" s="28">
        <f>VLOOKUP(Budgeted_Time[[#This Row],[Client]],Costing[],MATCH("EOFY Team 1",Costing[#Headers],0),0)</f>
        <v>0</v>
      </c>
      <c r="D59" s="28">
        <f>VLOOKUP(Budgeted_Time[[#This Row],[Client]],Costing[],MATCH("Time Min 1",Costing[#Headers],0),0)</f>
        <v>0</v>
      </c>
      <c r="H59"/>
    </row>
    <row r="60" spans="1:8" x14ac:dyDescent="0.2">
      <c r="A60" s="10" t="s">
        <v>283</v>
      </c>
      <c r="B60" s="10" t="s">
        <v>279</v>
      </c>
      <c r="C60" s="28">
        <f>VLOOKUP(Budgeted_Time[[#This Row],[Client]],Costing[],MATCH("EOFY Team 2",Costing[#Headers],0),0)</f>
        <v>0</v>
      </c>
      <c r="D60" s="28">
        <f>VLOOKUP(Budgeted_Time[[#This Row],[Client]],Costing[],MATCH("Time Min 2",Costing[#Headers],0),0)</f>
        <v>0</v>
      </c>
      <c r="H60"/>
    </row>
    <row r="61" spans="1:8" x14ac:dyDescent="0.2">
      <c r="A61" s="10" t="s">
        <v>283</v>
      </c>
      <c r="B61" s="10" t="s">
        <v>294</v>
      </c>
      <c r="C61" s="28">
        <f>VLOOKUP(Budgeted_Time[[#This Row],[Client]],Costing[],MATCH("Onboarding Team",Costing[#Headers],0),0)</f>
        <v>0</v>
      </c>
      <c r="D61" s="28" t="str">
        <f>VLOOKUP(Budgeted_Time[[#This Row],[Client]],Costing[],MATCH("Onboarding Minutes",Costing[#Headers],0),0)</f>
        <v/>
      </c>
      <c r="H61"/>
    </row>
    <row r="62" spans="1:8" x14ac:dyDescent="0.2">
      <c r="A62" s="10" t="s">
        <v>8</v>
      </c>
      <c r="B62" s="10" t="s">
        <v>145</v>
      </c>
      <c r="C62" s="28">
        <f>VLOOKUP(Budgeted_Time[[#This Row],[Client]],Costing[],MATCH("Payroll Team",Costing[#Headers],0),0)</f>
        <v>0</v>
      </c>
      <c r="D62" s="28">
        <f>VLOOKUP(Budgeted_Time[[#This Row],[Client]],Costing[],MATCH("Minutes/Pay Run",Costing[#Headers],0),0)</f>
        <v>0</v>
      </c>
      <c r="H62"/>
    </row>
    <row r="63" spans="1:8" x14ac:dyDescent="0.2">
      <c r="A63" s="10" t="s">
        <v>8</v>
      </c>
      <c r="B63" s="10" t="s">
        <v>176</v>
      </c>
      <c r="C63" s="28">
        <f>VLOOKUP(Budgeted_Time[[#This Row],[Client]],Costing[],MATCH("Super Team",Costing[#Headers],0),0)</f>
        <v>0</v>
      </c>
      <c r="D63" s="28">
        <f>VLOOKUP(Budgeted_Time[[#This Row],[Client]],Costing[],MATCH("Minutes/Super",Costing[#Headers],0),0)</f>
        <v>0</v>
      </c>
      <c r="H63"/>
    </row>
    <row r="64" spans="1:8" x14ac:dyDescent="0.2">
      <c r="A64" s="10" t="s">
        <v>8</v>
      </c>
      <c r="B64" s="10" t="s">
        <v>177</v>
      </c>
      <c r="C64" s="28" t="str">
        <f>VLOOKUP(Budgeted_Time[[#This Row],[Client]],Costing[],MATCH("Bookkeeping Team",Costing[#Headers],0),0)</f>
        <v>Kathryn</v>
      </c>
      <c r="D64" s="28">
        <f>VLOOKUP(Budgeted_Time[[#This Row],[Client]],Costing[],MATCH("Minutes/Activity",Costing[#Headers],0),0)</f>
        <v>621</v>
      </c>
      <c r="H64"/>
    </row>
    <row r="65" spans="1:8" x14ac:dyDescent="0.2">
      <c r="A65" s="10" t="s">
        <v>8</v>
      </c>
      <c r="B65" s="10" t="s">
        <v>178</v>
      </c>
      <c r="C65" s="28" t="str">
        <f>VLOOKUP(Budgeted_Time[[#This Row],[Client]],Costing[],MATCH("Reporting Team",Costing[#Headers],0),0)</f>
        <v>Laurence</v>
      </c>
      <c r="D65" s="28">
        <f>VLOOKUP(Budgeted_Time[[#This Row],[Client]],Costing[],MATCH("Minutes/Report",Costing[#Headers],0),0)</f>
        <v>5</v>
      </c>
      <c r="H65"/>
    </row>
    <row r="66" spans="1:8" x14ac:dyDescent="0.2">
      <c r="A66" s="10" t="s">
        <v>8</v>
      </c>
      <c r="B66" s="10" t="s">
        <v>179</v>
      </c>
      <c r="C66" s="28">
        <f>VLOOKUP(Budgeted_Time[[#This Row],[Client]],Costing[],MATCH("BAS 1 Team",Costing[#Headers],0),0)</f>
        <v>0</v>
      </c>
      <c r="D66" s="28">
        <f>VLOOKUP(Budgeted_Time[[#This Row],[Client]],Costing[],MATCH("Minutes/BAS 1",Costing[#Headers],0),0)</f>
        <v>0</v>
      </c>
      <c r="H66"/>
    </row>
    <row r="67" spans="1:8" x14ac:dyDescent="0.2">
      <c r="A67" s="10" t="s">
        <v>8</v>
      </c>
      <c r="B67" s="10" t="s">
        <v>180</v>
      </c>
      <c r="C67" s="28">
        <f>VLOOKUP(Budgeted_Time[[#This Row],[Client]],Costing[],MATCH("BAS 2 Team",Costing[#Headers],0),0)</f>
        <v>0</v>
      </c>
      <c r="D67" s="28">
        <f>VLOOKUP(Budgeted_Time[[#This Row],[Client]],Costing[],MATCH("Minutes/BAS 2",Costing[#Headers],0),0)</f>
        <v>0</v>
      </c>
      <c r="H67"/>
    </row>
    <row r="68" spans="1:8" x14ac:dyDescent="0.2">
      <c r="A68" s="10" t="s">
        <v>8</v>
      </c>
      <c r="B68" s="10" t="s">
        <v>181</v>
      </c>
      <c r="C68" s="28">
        <f>VLOOKUP(Budgeted_Time[[#This Row],[Client]],Costing[],MATCH("IAS Team",Costing[#Headers],0),0)</f>
        <v>0</v>
      </c>
      <c r="D68" s="28">
        <f>VLOOKUP(Budgeted_Time[[#This Row],[Client]],Costing[],MATCH("Minutes/IAS",Costing[#Headers],0),0)</f>
        <v>0</v>
      </c>
      <c r="H68"/>
    </row>
    <row r="69" spans="1:8" x14ac:dyDescent="0.2">
      <c r="A69" s="10" t="s">
        <v>8</v>
      </c>
      <c r="B69" s="10" t="s">
        <v>261</v>
      </c>
      <c r="C69" s="28">
        <f>VLOOKUP(Budgeted_Time[[#This Row],[Client]],Costing[],MATCH("EOFY Team 1",Costing[#Headers],0),0)</f>
        <v>0</v>
      </c>
      <c r="D69" s="28">
        <f>VLOOKUP(Budgeted_Time[[#This Row],[Client]],Costing[],MATCH("Time Min 1",Costing[#Headers],0),0)</f>
        <v>0</v>
      </c>
      <c r="H69"/>
    </row>
    <row r="70" spans="1:8" x14ac:dyDescent="0.2">
      <c r="A70" s="10" t="s">
        <v>8</v>
      </c>
      <c r="B70" s="10" t="s">
        <v>279</v>
      </c>
      <c r="C70" s="28">
        <f>VLOOKUP(Budgeted_Time[[#This Row],[Client]],Costing[],MATCH("EOFY Team 2",Costing[#Headers],0),0)</f>
        <v>0</v>
      </c>
      <c r="D70" s="28">
        <f>VLOOKUP(Budgeted_Time[[#This Row],[Client]],Costing[],MATCH("Time Min 2",Costing[#Headers],0),0)</f>
        <v>0</v>
      </c>
      <c r="H70"/>
    </row>
    <row r="71" spans="1:8" x14ac:dyDescent="0.2">
      <c r="A71" s="10" t="s">
        <v>8</v>
      </c>
      <c r="B71" s="10" t="s">
        <v>294</v>
      </c>
      <c r="C71" s="28" t="str">
        <f>VLOOKUP(Budgeted_Time[[#This Row],[Client]],Costing[],MATCH("Onboarding Team",Costing[#Headers],0),0)</f>
        <v>Laurence</v>
      </c>
      <c r="D71" s="28">
        <f>VLOOKUP(Budgeted_Time[[#This Row],[Client]],Costing[],MATCH("Onboarding Minutes",Costing[#Headers],0),0)</f>
        <v>3694.9500000000003</v>
      </c>
      <c r="H71"/>
    </row>
    <row r="72" spans="1:8" x14ac:dyDescent="0.2">
      <c r="A72" s="10" t="s">
        <v>9</v>
      </c>
      <c r="B72" s="10" t="s">
        <v>145</v>
      </c>
      <c r="C72" s="28" t="str">
        <f>VLOOKUP(Budgeted_Time[[#This Row],[Client]],Costing[],MATCH("Payroll Team",Costing[#Headers],0),0)</f>
        <v>Kim</v>
      </c>
      <c r="D72" s="28">
        <f>VLOOKUP(Budgeted_Time[[#This Row],[Client]],Costing[],MATCH("Minutes/Pay Run",Costing[#Headers],0),0)</f>
        <v>30</v>
      </c>
      <c r="H72"/>
    </row>
    <row r="73" spans="1:8" x14ac:dyDescent="0.2">
      <c r="A73" s="10" t="s">
        <v>9</v>
      </c>
      <c r="B73" s="10" t="s">
        <v>176</v>
      </c>
      <c r="C73" s="28" t="str">
        <f>VLOOKUP(Budgeted_Time[[#This Row],[Client]],Costing[],MATCH("Super Team",Costing[#Headers],0),0)</f>
        <v>Joanna</v>
      </c>
      <c r="D73" s="28">
        <f>VLOOKUP(Budgeted_Time[[#This Row],[Client]],Costing[],MATCH("Minutes/Super",Costing[#Headers],0),0)</f>
        <v>10</v>
      </c>
      <c r="H73"/>
    </row>
    <row r="74" spans="1:8" x14ac:dyDescent="0.2">
      <c r="A74" s="10" t="s">
        <v>9</v>
      </c>
      <c r="B74" s="10" t="s">
        <v>177</v>
      </c>
      <c r="C74" s="28" t="str">
        <f>VLOOKUP(Budgeted_Time[[#This Row],[Client]],Costing[],MATCH("Bookkeeping Team",Costing[#Headers],0),0)</f>
        <v>Joanna</v>
      </c>
      <c r="D74" s="28">
        <f>VLOOKUP(Budgeted_Time[[#This Row],[Client]],Costing[],MATCH("Minutes/Activity",Costing[#Headers],0),0)</f>
        <v>180</v>
      </c>
      <c r="H74"/>
    </row>
    <row r="75" spans="1:8" x14ac:dyDescent="0.2">
      <c r="A75" s="10" t="s">
        <v>9</v>
      </c>
      <c r="B75" s="10" t="s">
        <v>178</v>
      </c>
      <c r="C75" s="28" t="str">
        <f>VLOOKUP(Budgeted_Time[[#This Row],[Client]],Costing[],MATCH("Reporting Team",Costing[#Headers],0),0)</f>
        <v>Kim</v>
      </c>
      <c r="D75" s="28">
        <f>VLOOKUP(Budgeted_Time[[#This Row],[Client]],Costing[],MATCH("Minutes/Report",Costing[#Headers],0),0)</f>
        <v>20</v>
      </c>
      <c r="H75"/>
    </row>
    <row r="76" spans="1:8" x14ac:dyDescent="0.2">
      <c r="A76" s="10" t="s">
        <v>9</v>
      </c>
      <c r="B76" s="10" t="s">
        <v>179</v>
      </c>
      <c r="C76" s="28" t="str">
        <f>VLOOKUP(Budgeted_Time[[#This Row],[Client]],Costing[],MATCH("BAS 1 Team",Costing[#Headers],0),0)</f>
        <v>Joanna</v>
      </c>
      <c r="D76" s="28">
        <f>VLOOKUP(Budgeted_Time[[#This Row],[Client]],Costing[],MATCH("Minutes/BAS 1",Costing[#Headers],0),0)</f>
        <v>60</v>
      </c>
      <c r="H76"/>
    </row>
    <row r="77" spans="1:8" x14ac:dyDescent="0.2">
      <c r="A77" s="10" t="s">
        <v>9</v>
      </c>
      <c r="B77" s="10" t="s">
        <v>180</v>
      </c>
      <c r="C77" s="28" t="str">
        <f>VLOOKUP(Budgeted_Time[[#This Row],[Client]],Costing[],MATCH("BAS 2 Team",Costing[#Headers],0),0)</f>
        <v>Rachel</v>
      </c>
      <c r="D77" s="28">
        <f>VLOOKUP(Budgeted_Time[[#This Row],[Client]],Costing[],MATCH("Minutes/BAS 2",Costing[#Headers],0),0)</f>
        <v>15</v>
      </c>
      <c r="H77"/>
    </row>
    <row r="78" spans="1:8" x14ac:dyDescent="0.2">
      <c r="A78" s="10" t="s">
        <v>9</v>
      </c>
      <c r="B78" s="10" t="s">
        <v>181</v>
      </c>
      <c r="C78" s="28" t="str">
        <f>VLOOKUP(Budgeted_Time[[#This Row],[Client]],Costing[],MATCH("IAS Team",Costing[#Headers],0),0)</f>
        <v>Rachel</v>
      </c>
      <c r="D78" s="28">
        <f>VLOOKUP(Budgeted_Time[[#This Row],[Client]],Costing[],MATCH("Minutes/IAS",Costing[#Headers],0),0)</f>
        <v>30</v>
      </c>
      <c r="H78"/>
    </row>
    <row r="79" spans="1:8" x14ac:dyDescent="0.2">
      <c r="A79" s="10" t="s">
        <v>9</v>
      </c>
      <c r="B79" s="10" t="s">
        <v>261</v>
      </c>
      <c r="C79" s="28" t="str">
        <f>VLOOKUP(Budgeted_Time[[#This Row],[Client]],Costing[],MATCH("EOFY Team 1",Costing[#Headers],0),0)</f>
        <v>Kim</v>
      </c>
      <c r="D79" s="28">
        <f>VLOOKUP(Budgeted_Time[[#This Row],[Client]],Costing[],MATCH("Time Min 1",Costing[#Headers],0),0)</f>
        <v>120</v>
      </c>
      <c r="H79"/>
    </row>
    <row r="80" spans="1:8" x14ac:dyDescent="0.2">
      <c r="A80" s="10" t="s">
        <v>9</v>
      </c>
      <c r="B80" s="10" t="s">
        <v>279</v>
      </c>
      <c r="C80" s="28" t="str">
        <f>VLOOKUP(Budgeted_Time[[#This Row],[Client]],Costing[],MATCH("EOFY Team 2",Costing[#Headers],0),0)</f>
        <v>Joanna</v>
      </c>
      <c r="D80" s="28">
        <f>VLOOKUP(Budgeted_Time[[#This Row],[Client]],Costing[],MATCH("Time Min 2",Costing[#Headers],0),0)</f>
        <v>120</v>
      </c>
      <c r="H80"/>
    </row>
    <row r="81" spans="1:8" x14ac:dyDescent="0.2">
      <c r="A81" s="10" t="s">
        <v>9</v>
      </c>
      <c r="B81" s="10" t="s">
        <v>294</v>
      </c>
      <c r="C81" s="28" t="str">
        <f>VLOOKUP(Budgeted_Time[[#This Row],[Client]],Costing[],MATCH("Onboarding Team",Costing[#Headers],0),0)</f>
        <v>Kim</v>
      </c>
      <c r="D81" s="28">
        <f>VLOOKUP(Budgeted_Time[[#This Row],[Client]],Costing[],MATCH("Onboarding Minutes",Costing[#Headers],0),0)</f>
        <v>1071</v>
      </c>
      <c r="H81"/>
    </row>
    <row r="82" spans="1:8" x14ac:dyDescent="0.2">
      <c r="A82" s="10" t="s">
        <v>10</v>
      </c>
      <c r="B82" s="10" t="s">
        <v>145</v>
      </c>
      <c r="C82" s="28" t="str">
        <f>VLOOKUP(Budgeted_Time[[#This Row],[Client]],Costing[],MATCH("Payroll Team",Costing[#Headers],0),0)</f>
        <v>Kathleen</v>
      </c>
      <c r="D82" s="28">
        <f>VLOOKUP(Budgeted_Time[[#This Row],[Client]],Costing[],MATCH("Minutes/Pay Run",Costing[#Headers],0),0)</f>
        <v>75</v>
      </c>
      <c r="F82" s="28"/>
      <c r="H82"/>
    </row>
    <row r="83" spans="1:8" x14ac:dyDescent="0.2">
      <c r="A83" s="10" t="s">
        <v>10</v>
      </c>
      <c r="B83" s="10" t="s">
        <v>176</v>
      </c>
      <c r="C83" s="28" t="str">
        <f>VLOOKUP(Budgeted_Time[[#This Row],[Client]],Costing[],MATCH("Super Team",Costing[#Headers],0),0)</f>
        <v>Kathleen</v>
      </c>
      <c r="D83" s="28">
        <f>VLOOKUP(Budgeted_Time[[#This Row],[Client]],Costing[],MATCH("Minutes/Super",Costing[#Headers],0),0)</f>
        <v>15</v>
      </c>
      <c r="H83"/>
    </row>
    <row r="84" spans="1:8" x14ac:dyDescent="0.2">
      <c r="A84" s="10" t="s">
        <v>10</v>
      </c>
      <c r="B84" s="10" t="s">
        <v>177</v>
      </c>
      <c r="C84" s="28" t="str">
        <f>VLOOKUP(Budgeted_Time[[#This Row],[Client]],Costing[],MATCH("Bookkeeping Team",Costing[#Headers],0),0)</f>
        <v>Kathleen</v>
      </c>
      <c r="D84" s="28">
        <f>VLOOKUP(Budgeted_Time[[#This Row],[Client]],Costing[],MATCH("Minutes/Activity",Costing[#Headers],0),0)</f>
        <v>180</v>
      </c>
    </row>
    <row r="85" spans="1:8" x14ac:dyDescent="0.2">
      <c r="A85" s="10" t="s">
        <v>10</v>
      </c>
      <c r="B85" s="10" t="s">
        <v>178</v>
      </c>
      <c r="C85" s="28" t="str">
        <f>VLOOKUP(Budgeted_Time[[#This Row],[Client]],Costing[],MATCH("Reporting Team",Costing[#Headers],0),0)</f>
        <v>Kim</v>
      </c>
      <c r="D85" s="28">
        <f>VLOOKUP(Budgeted_Time[[#This Row],[Client]],Costing[],MATCH("Minutes/Report",Costing[#Headers],0),0)</f>
        <v>20</v>
      </c>
    </row>
    <row r="86" spans="1:8" x14ac:dyDescent="0.2">
      <c r="A86" s="10" t="s">
        <v>10</v>
      </c>
      <c r="B86" s="10" t="s">
        <v>179</v>
      </c>
      <c r="C86" s="28" t="str">
        <f>VLOOKUP(Budgeted_Time[[#This Row],[Client]],Costing[],MATCH("BAS 1 Team",Costing[#Headers],0),0)</f>
        <v>Kathleen</v>
      </c>
      <c r="D86" s="28">
        <f>VLOOKUP(Budgeted_Time[[#This Row],[Client]],Costing[],MATCH("Minutes/BAS 1",Costing[#Headers],0),0)</f>
        <v>60</v>
      </c>
    </row>
    <row r="87" spans="1:8" x14ac:dyDescent="0.2">
      <c r="A87" s="10" t="s">
        <v>10</v>
      </c>
      <c r="B87" s="10" t="s">
        <v>180</v>
      </c>
      <c r="C87" s="28" t="str">
        <f>VLOOKUP(Budgeted_Time[[#This Row],[Client]],Costing[],MATCH("BAS 2 Team",Costing[#Headers],0),0)</f>
        <v>Rachel</v>
      </c>
      <c r="D87" s="28">
        <f>VLOOKUP(Budgeted_Time[[#This Row],[Client]],Costing[],MATCH("Minutes/BAS 2",Costing[#Headers],0),0)</f>
        <v>15</v>
      </c>
    </row>
    <row r="88" spans="1:8" x14ac:dyDescent="0.2">
      <c r="A88" s="10" t="s">
        <v>10</v>
      </c>
      <c r="B88" s="10" t="s">
        <v>181</v>
      </c>
      <c r="C88" s="28">
        <f>VLOOKUP(Budgeted_Time[[#This Row],[Client]],Costing[],MATCH("IAS Team",Costing[#Headers],0),0)</f>
        <v>0</v>
      </c>
      <c r="D88" s="28">
        <f>VLOOKUP(Budgeted_Time[[#This Row],[Client]],Costing[],MATCH("Minutes/IAS",Costing[#Headers],0),0)</f>
        <v>0</v>
      </c>
    </row>
    <row r="89" spans="1:8" x14ac:dyDescent="0.2">
      <c r="A89" s="10" t="s">
        <v>10</v>
      </c>
      <c r="B89" s="10" t="s">
        <v>261</v>
      </c>
      <c r="C89" s="28" t="str">
        <f>VLOOKUP(Budgeted_Time[[#This Row],[Client]],Costing[],MATCH("EOFY Team 1",Costing[#Headers],0),0)</f>
        <v>Kathleen</v>
      </c>
      <c r="D89" s="28">
        <f>VLOOKUP(Budgeted_Time[[#This Row],[Client]],Costing[],MATCH("Time Min 1",Costing[#Headers],0),0)</f>
        <v>120</v>
      </c>
    </row>
    <row r="90" spans="1:8" x14ac:dyDescent="0.2">
      <c r="A90" s="10" t="s">
        <v>10</v>
      </c>
      <c r="B90" s="10" t="s">
        <v>279</v>
      </c>
      <c r="C90" s="28" t="str">
        <f>VLOOKUP(Budgeted_Time[[#This Row],[Client]],Costing[],MATCH("EOFY Team 2",Costing[#Headers],0),0)</f>
        <v>Kim</v>
      </c>
      <c r="D90" s="28">
        <f>VLOOKUP(Budgeted_Time[[#This Row],[Client]],Costing[],MATCH("Time Min 2",Costing[#Headers],0),0)</f>
        <v>120</v>
      </c>
    </row>
    <row r="91" spans="1:8" x14ac:dyDescent="0.2">
      <c r="A91" s="10" t="s">
        <v>10</v>
      </c>
      <c r="B91" s="10" t="s">
        <v>294</v>
      </c>
      <c r="C91" s="28" t="str">
        <f>VLOOKUP(Budgeted_Time[[#This Row],[Client]],Costing[],MATCH("Onboarding Team",Costing[#Headers],0),0)</f>
        <v>Kim</v>
      </c>
      <c r="D91" s="28">
        <f>VLOOKUP(Budgeted_Time[[#This Row],[Client]],Costing[],MATCH("Onboarding Minutes",Costing[#Headers],0),0)</f>
        <v>1071</v>
      </c>
    </row>
    <row r="92" spans="1:8" x14ac:dyDescent="0.2">
      <c r="A92" s="10" t="s">
        <v>11</v>
      </c>
      <c r="B92" s="10" t="s">
        <v>145</v>
      </c>
      <c r="C92" s="28" t="str">
        <f>VLOOKUP(Budgeted_Time[[#This Row],[Client]],Costing[],MATCH("Payroll Team",Costing[#Headers],0),0)</f>
        <v>Rachel</v>
      </c>
      <c r="D92" s="28">
        <f>VLOOKUP(Budgeted_Time[[#This Row],[Client]],Costing[],MATCH("Minutes/Pay Run",Costing[#Headers],0),0)</f>
        <v>10</v>
      </c>
    </row>
    <row r="93" spans="1:8" x14ac:dyDescent="0.2">
      <c r="A93" s="10" t="s">
        <v>11</v>
      </c>
      <c r="B93" s="10" t="s">
        <v>176</v>
      </c>
      <c r="C93" s="28" t="str">
        <f>VLOOKUP(Budgeted_Time[[#This Row],[Client]],Costing[],MATCH("Super Team",Costing[#Headers],0),0)</f>
        <v>Rachel</v>
      </c>
      <c r="D93" s="28">
        <f>VLOOKUP(Budgeted_Time[[#This Row],[Client]],Costing[],MATCH("Minutes/Super",Costing[#Headers],0),0)</f>
        <v>15</v>
      </c>
    </row>
    <row r="94" spans="1:8" x14ac:dyDescent="0.2">
      <c r="A94" s="10" t="s">
        <v>11</v>
      </c>
      <c r="B94" s="10" t="s">
        <v>177</v>
      </c>
      <c r="C94" s="28" t="str">
        <f>VLOOKUP(Budgeted_Time[[#This Row],[Client]],Costing[],MATCH("Bookkeeping Team",Costing[#Headers],0),0)</f>
        <v>Rachel</v>
      </c>
      <c r="D94" s="28">
        <f>VLOOKUP(Budgeted_Time[[#This Row],[Client]],Costing[],MATCH("Minutes/Activity",Costing[#Headers],0),0)</f>
        <v>30</v>
      </c>
    </row>
    <row r="95" spans="1:8" x14ac:dyDescent="0.2">
      <c r="A95" s="10" t="s">
        <v>11</v>
      </c>
      <c r="B95" s="10" t="s">
        <v>178</v>
      </c>
      <c r="C95" s="28" t="str">
        <f>VLOOKUP(Budgeted_Time[[#This Row],[Client]],Costing[],MATCH("Reporting Team",Costing[#Headers],0),0)</f>
        <v>Rachel</v>
      </c>
      <c r="D95" s="28">
        <f>VLOOKUP(Budgeted_Time[[#This Row],[Client]],Costing[],MATCH("Minutes/Report",Costing[#Headers],0),0)</f>
        <v>9</v>
      </c>
    </row>
    <row r="96" spans="1:8" x14ac:dyDescent="0.2">
      <c r="A96" s="10" t="s">
        <v>11</v>
      </c>
      <c r="B96" s="10" t="s">
        <v>179</v>
      </c>
      <c r="C96" s="28" t="str">
        <f>VLOOKUP(Budgeted_Time[[#This Row],[Client]],Costing[],MATCH("BAS 1 Team",Costing[#Headers],0),0)</f>
        <v>Rachel</v>
      </c>
      <c r="D96" s="28">
        <f>VLOOKUP(Budgeted_Time[[#This Row],[Client]],Costing[],MATCH("Minutes/BAS 1",Costing[#Headers],0),0)</f>
        <v>60</v>
      </c>
    </row>
    <row r="97" spans="1:4" x14ac:dyDescent="0.2">
      <c r="A97" s="10" t="s">
        <v>11</v>
      </c>
      <c r="B97" s="10" t="s">
        <v>180</v>
      </c>
      <c r="C97" s="28" t="str">
        <f>VLOOKUP(Budgeted_Time[[#This Row],[Client]],Costing[],MATCH("BAS 2 Team",Costing[#Headers],0),0)</f>
        <v>Rachel</v>
      </c>
      <c r="D97" s="28">
        <f>VLOOKUP(Budgeted_Time[[#This Row],[Client]],Costing[],MATCH("Minutes/BAS 2",Costing[#Headers],0),0)</f>
        <v>15</v>
      </c>
    </row>
    <row r="98" spans="1:4" x14ac:dyDescent="0.2">
      <c r="A98" s="10" t="s">
        <v>11</v>
      </c>
      <c r="B98" s="10" t="s">
        <v>181</v>
      </c>
      <c r="C98" s="28">
        <f>VLOOKUP(Budgeted_Time[[#This Row],[Client]],Costing[],MATCH("IAS Team",Costing[#Headers],0),0)</f>
        <v>0</v>
      </c>
      <c r="D98" s="28">
        <f>VLOOKUP(Budgeted_Time[[#This Row],[Client]],Costing[],MATCH("Minutes/IAS",Costing[#Headers],0),0)</f>
        <v>0</v>
      </c>
    </row>
    <row r="99" spans="1:4" x14ac:dyDescent="0.2">
      <c r="A99" s="10" t="s">
        <v>11</v>
      </c>
      <c r="B99" s="10" t="s">
        <v>261</v>
      </c>
      <c r="C99" s="28" t="str">
        <f>VLOOKUP(Budgeted_Time[[#This Row],[Client]],Costing[],MATCH("EOFY Team 1",Costing[#Headers],0),0)</f>
        <v>Rachel</v>
      </c>
      <c r="D99" s="28">
        <f>VLOOKUP(Budgeted_Time[[#This Row],[Client]],Costing[],MATCH("Time Min 1",Costing[#Headers],0),0)</f>
        <v>120</v>
      </c>
    </row>
    <row r="100" spans="1:4" x14ac:dyDescent="0.2">
      <c r="A100" s="10" t="s">
        <v>11</v>
      </c>
      <c r="B100" s="10" t="s">
        <v>279</v>
      </c>
      <c r="C100" s="28" t="str">
        <f>VLOOKUP(Budgeted_Time[[#This Row],[Client]],Costing[],MATCH("EOFY Team 2",Costing[#Headers],0),0)</f>
        <v>Kim</v>
      </c>
      <c r="D100" s="28">
        <f>VLOOKUP(Budgeted_Time[[#This Row],[Client]],Costing[],MATCH("Time Min 2",Costing[#Headers],0),0)</f>
        <v>120</v>
      </c>
    </row>
    <row r="101" spans="1:4" x14ac:dyDescent="0.2">
      <c r="A101" s="10" t="s">
        <v>11</v>
      </c>
      <c r="B101" s="10" t="s">
        <v>294</v>
      </c>
      <c r="C101" s="28" t="str">
        <f>VLOOKUP(Budgeted_Time[[#This Row],[Client]],Costing[],MATCH("Onboarding Team",Costing[#Headers],0),0)</f>
        <v>Laurence</v>
      </c>
      <c r="D101" s="28">
        <f>VLOOKUP(Budgeted_Time[[#This Row],[Client]],Costing[],MATCH("Onboarding Minutes",Costing[#Headers],0),0)</f>
        <v>178.5</v>
      </c>
    </row>
    <row r="102" spans="1:4" x14ac:dyDescent="0.2">
      <c r="A102" s="10" t="s">
        <v>281</v>
      </c>
      <c r="B102" s="10" t="s">
        <v>145</v>
      </c>
      <c r="C102" s="28">
        <f>VLOOKUP(Budgeted_Time[[#This Row],[Client]],Costing[],MATCH("Payroll Team",Costing[#Headers],0),0)</f>
        <v>0</v>
      </c>
      <c r="D102" s="28">
        <f>VLOOKUP(Budgeted_Time[[#This Row],[Client]],Costing[],MATCH("Minutes/Pay Run",Costing[#Headers],0),0)</f>
        <v>0</v>
      </c>
    </row>
    <row r="103" spans="1:4" x14ac:dyDescent="0.2">
      <c r="A103" s="10" t="s">
        <v>281</v>
      </c>
      <c r="B103" s="10" t="s">
        <v>176</v>
      </c>
      <c r="C103" s="28">
        <f>VLOOKUP(Budgeted_Time[[#This Row],[Client]],Costing[],MATCH("Super Team",Costing[#Headers],0),0)</f>
        <v>0</v>
      </c>
      <c r="D103" s="28">
        <f>VLOOKUP(Budgeted_Time[[#This Row],[Client]],Costing[],MATCH("Minutes/Super",Costing[#Headers],0),0)</f>
        <v>0</v>
      </c>
    </row>
    <row r="104" spans="1:4" x14ac:dyDescent="0.2">
      <c r="A104" s="10" t="s">
        <v>281</v>
      </c>
      <c r="B104" s="10" t="s">
        <v>177</v>
      </c>
      <c r="C104" s="28" t="str">
        <f>VLOOKUP(Budgeted_Time[[#This Row],[Client]],Costing[],MATCH("Bookkeeping Team",Costing[#Headers],0),0)</f>
        <v>Kathryn</v>
      </c>
      <c r="D104" s="28">
        <f>VLOOKUP(Budgeted_Time[[#This Row],[Client]],Costing[],MATCH("Minutes/Activity",Costing[#Headers],0),0)</f>
        <v>120</v>
      </c>
    </row>
    <row r="105" spans="1:4" x14ac:dyDescent="0.2">
      <c r="A105" s="10" t="s">
        <v>281</v>
      </c>
      <c r="B105" s="10" t="s">
        <v>178</v>
      </c>
      <c r="C105" s="28">
        <f>VLOOKUP(Budgeted_Time[[#This Row],[Client]],Costing[],MATCH("Reporting Team",Costing[#Headers],0),0)</f>
        <v>0</v>
      </c>
      <c r="D105" s="28">
        <f>VLOOKUP(Budgeted_Time[[#This Row],[Client]],Costing[],MATCH("Minutes/Report",Costing[#Headers],0),0)</f>
        <v>0</v>
      </c>
    </row>
    <row r="106" spans="1:4" x14ac:dyDescent="0.2">
      <c r="A106" s="10" t="s">
        <v>281</v>
      </c>
      <c r="B106" s="10" t="s">
        <v>179</v>
      </c>
      <c r="C106" s="28" t="str">
        <f>VLOOKUP(Budgeted_Time[[#This Row],[Client]],Costing[],MATCH("BAS 1 Team",Costing[#Headers],0),0)</f>
        <v>Kathryn</v>
      </c>
      <c r="D106" s="28">
        <f>VLOOKUP(Budgeted_Time[[#This Row],[Client]],Costing[],MATCH("Minutes/BAS 1",Costing[#Headers],0),0)</f>
        <v>60</v>
      </c>
    </row>
    <row r="107" spans="1:4" x14ac:dyDescent="0.2">
      <c r="A107" s="10" t="s">
        <v>281</v>
      </c>
      <c r="B107" s="10" t="s">
        <v>180</v>
      </c>
      <c r="C107" s="28" t="str">
        <f>VLOOKUP(Budgeted_Time[[#This Row],[Client]],Costing[],MATCH("BAS 2 Team",Costing[#Headers],0),0)</f>
        <v>Rachel</v>
      </c>
      <c r="D107" s="28">
        <f>VLOOKUP(Budgeted_Time[[#This Row],[Client]],Costing[],MATCH("Minutes/BAS 2",Costing[#Headers],0),0)</f>
        <v>15</v>
      </c>
    </row>
    <row r="108" spans="1:4" x14ac:dyDescent="0.2">
      <c r="A108" s="10" t="s">
        <v>281</v>
      </c>
      <c r="B108" s="10" t="s">
        <v>181</v>
      </c>
      <c r="C108" s="28">
        <f>VLOOKUP(Budgeted_Time[[#This Row],[Client]],Costing[],MATCH("IAS Team",Costing[#Headers],0),0)</f>
        <v>0</v>
      </c>
      <c r="D108" s="28">
        <f>VLOOKUP(Budgeted_Time[[#This Row],[Client]],Costing[],MATCH("Minutes/IAS",Costing[#Headers],0),0)</f>
        <v>0</v>
      </c>
    </row>
    <row r="109" spans="1:4" x14ac:dyDescent="0.2">
      <c r="A109" s="10" t="s">
        <v>281</v>
      </c>
      <c r="B109" s="10" t="s">
        <v>261</v>
      </c>
      <c r="C109" s="28" t="str">
        <f>VLOOKUP(Budgeted_Time[[#This Row],[Client]],Costing[],MATCH("EOFY Team 1",Costing[#Headers],0),0)</f>
        <v>Kathryn</v>
      </c>
      <c r="D109" s="28">
        <f>VLOOKUP(Budgeted_Time[[#This Row],[Client]],Costing[],MATCH("Time Min 1",Costing[#Headers],0),0)</f>
        <v>60</v>
      </c>
    </row>
    <row r="110" spans="1:4" x14ac:dyDescent="0.2">
      <c r="A110" s="10" t="s">
        <v>281</v>
      </c>
      <c r="B110" s="10" t="s">
        <v>279</v>
      </c>
      <c r="C110" s="28" t="str">
        <f>VLOOKUP(Budgeted_Time[[#This Row],[Client]],Costing[],MATCH("EOFY Team 2",Costing[#Headers],0),0)</f>
        <v>Kim</v>
      </c>
      <c r="D110" s="28">
        <f>VLOOKUP(Budgeted_Time[[#This Row],[Client]],Costing[],MATCH("Time Min 2",Costing[#Headers],0),0)</f>
        <v>60</v>
      </c>
    </row>
    <row r="111" spans="1:4" x14ac:dyDescent="0.2">
      <c r="A111" s="10" t="s">
        <v>281</v>
      </c>
      <c r="B111" s="10" t="s">
        <v>294</v>
      </c>
      <c r="C111" s="28" t="str">
        <f>VLOOKUP(Budgeted_Time[[#This Row],[Client]],Costing[],MATCH("Onboarding Team",Costing[#Headers],0),0)</f>
        <v>Kim</v>
      </c>
      <c r="D111" s="28">
        <f>VLOOKUP(Budgeted_Time[[#This Row],[Client]],Costing[],MATCH("Onboarding Minutes",Costing[#Headers],0),0)</f>
        <v>714</v>
      </c>
    </row>
    <row r="112" spans="1:4" x14ac:dyDescent="0.2">
      <c r="A112" s="10" t="s">
        <v>12</v>
      </c>
      <c r="B112" s="10" t="s">
        <v>145</v>
      </c>
      <c r="C112" s="28">
        <f>VLOOKUP(Budgeted_Time[[#This Row],[Client]],Costing[],MATCH("Payroll Team",Costing[#Headers],0),0)</f>
        <v>0</v>
      </c>
      <c r="D112" s="28">
        <f>VLOOKUP(Budgeted_Time[[#This Row],[Client]],Costing[],MATCH("Minutes/Pay Run",Costing[#Headers],0),0)</f>
        <v>0</v>
      </c>
    </row>
    <row r="113" spans="1:4" x14ac:dyDescent="0.2">
      <c r="A113" s="10" t="s">
        <v>12</v>
      </c>
      <c r="B113" s="10" t="s">
        <v>176</v>
      </c>
      <c r="C113" s="28">
        <f>VLOOKUP(Budgeted_Time[[#This Row],[Client]],Costing[],MATCH("Super Team",Costing[#Headers],0),0)</f>
        <v>0</v>
      </c>
      <c r="D113" s="28">
        <f>VLOOKUP(Budgeted_Time[[#This Row],[Client]],Costing[],MATCH("Minutes/Super",Costing[#Headers],0),0)</f>
        <v>0</v>
      </c>
    </row>
    <row r="114" spans="1:4" x14ac:dyDescent="0.2">
      <c r="A114" s="10" t="s">
        <v>12</v>
      </c>
      <c r="B114" s="10" t="s">
        <v>177</v>
      </c>
      <c r="C114" s="28" t="str">
        <f>VLOOKUP(Budgeted_Time[[#This Row],[Client]],Costing[],MATCH("Bookkeeping Team",Costing[#Headers],0),0)</f>
        <v>Rachel</v>
      </c>
      <c r="D114" s="28">
        <f>VLOOKUP(Budgeted_Time[[#This Row],[Client]],Costing[],MATCH("Minutes/Activity",Costing[#Headers],0),0)</f>
        <v>100</v>
      </c>
    </row>
    <row r="115" spans="1:4" x14ac:dyDescent="0.2">
      <c r="A115" s="10" t="s">
        <v>12</v>
      </c>
      <c r="B115" s="10" t="s">
        <v>178</v>
      </c>
      <c r="C115" s="28" t="str">
        <f>VLOOKUP(Budgeted_Time[[#This Row],[Client]],Costing[],MATCH("Reporting Team",Costing[#Headers],0),0)</f>
        <v>Rachel</v>
      </c>
      <c r="D115" s="28">
        <f>VLOOKUP(Budgeted_Time[[#This Row],[Client]],Costing[],MATCH("Minutes/Report",Costing[#Headers],0),0)</f>
        <v>15</v>
      </c>
    </row>
    <row r="116" spans="1:4" x14ac:dyDescent="0.2">
      <c r="A116" s="10" t="s">
        <v>12</v>
      </c>
      <c r="B116" s="10" t="s">
        <v>179</v>
      </c>
      <c r="C116" s="28" t="str">
        <f>VLOOKUP(Budgeted_Time[[#This Row],[Client]],Costing[],MATCH("BAS 1 Team",Costing[#Headers],0),0)</f>
        <v>Rachel</v>
      </c>
      <c r="D116" s="28">
        <f>VLOOKUP(Budgeted_Time[[#This Row],[Client]],Costing[],MATCH("Minutes/BAS 1",Costing[#Headers],0),0)</f>
        <v>60</v>
      </c>
    </row>
    <row r="117" spans="1:4" x14ac:dyDescent="0.2">
      <c r="A117" s="10" t="s">
        <v>12</v>
      </c>
      <c r="B117" s="10" t="s">
        <v>180</v>
      </c>
      <c r="C117" s="28" t="str">
        <f>VLOOKUP(Budgeted_Time[[#This Row],[Client]],Costing[],MATCH("BAS 2 Team",Costing[#Headers],0),0)</f>
        <v>Rachel</v>
      </c>
      <c r="D117" s="28">
        <f>VLOOKUP(Budgeted_Time[[#This Row],[Client]],Costing[],MATCH("Minutes/BAS 2",Costing[#Headers],0),0)</f>
        <v>15</v>
      </c>
    </row>
    <row r="118" spans="1:4" x14ac:dyDescent="0.2">
      <c r="A118" s="10" t="s">
        <v>12</v>
      </c>
      <c r="B118" s="10" t="s">
        <v>181</v>
      </c>
      <c r="C118" s="28">
        <f>VLOOKUP(Budgeted_Time[[#This Row],[Client]],Costing[],MATCH("IAS Team",Costing[#Headers],0),0)</f>
        <v>0</v>
      </c>
      <c r="D118" s="28">
        <f>VLOOKUP(Budgeted_Time[[#This Row],[Client]],Costing[],MATCH("Minutes/IAS",Costing[#Headers],0),0)</f>
        <v>0</v>
      </c>
    </row>
    <row r="119" spans="1:4" x14ac:dyDescent="0.2">
      <c r="A119" s="10" t="s">
        <v>12</v>
      </c>
      <c r="B119" s="10" t="s">
        <v>261</v>
      </c>
      <c r="C119" s="28" t="str">
        <f>VLOOKUP(Budgeted_Time[[#This Row],[Client]],Costing[],MATCH("EOFY Team 1",Costing[#Headers],0),0)</f>
        <v>Rachel</v>
      </c>
      <c r="D119" s="28">
        <f>VLOOKUP(Budgeted_Time[[#This Row],[Client]],Costing[],MATCH("Time Min 1",Costing[#Headers],0),0)</f>
        <v>60</v>
      </c>
    </row>
    <row r="120" spans="1:4" x14ac:dyDescent="0.2">
      <c r="A120" s="10" t="s">
        <v>12</v>
      </c>
      <c r="B120" s="10" t="s">
        <v>279</v>
      </c>
      <c r="C120" s="28" t="str">
        <f>VLOOKUP(Budgeted_Time[[#This Row],[Client]],Costing[],MATCH("EOFY Team 2",Costing[#Headers],0),0)</f>
        <v>Kim</v>
      </c>
      <c r="D120" s="28">
        <f>VLOOKUP(Budgeted_Time[[#This Row],[Client]],Costing[],MATCH("Time Min 2",Costing[#Headers],0),0)</f>
        <v>120</v>
      </c>
    </row>
    <row r="121" spans="1:4" x14ac:dyDescent="0.2">
      <c r="A121" s="10" t="s">
        <v>12</v>
      </c>
      <c r="B121" s="10" t="s">
        <v>294</v>
      </c>
      <c r="C121" s="28" t="str">
        <f>VLOOKUP(Budgeted_Time[[#This Row],[Client]],Costing[],MATCH("Onboarding Team",Costing[#Headers],0),0)</f>
        <v>Laurence</v>
      </c>
      <c r="D121" s="28">
        <f>VLOOKUP(Budgeted_Time[[#This Row],[Client]],Costing[],MATCH("Onboarding Minutes",Costing[#Headers],0),0)</f>
        <v>595</v>
      </c>
    </row>
    <row r="122" spans="1:4" x14ac:dyDescent="0.2">
      <c r="A122" s="10" t="s">
        <v>13</v>
      </c>
      <c r="B122" s="10" t="s">
        <v>145</v>
      </c>
      <c r="C122" s="28" t="str">
        <f>VLOOKUP(Budgeted_Time[[#This Row],[Client]],Costing[],MATCH("Payroll Team",Costing[#Headers],0),0)</f>
        <v>Rachel</v>
      </c>
      <c r="D122" s="28">
        <f>VLOOKUP(Budgeted_Time[[#This Row],[Client]],Costing[],MATCH("Minutes/Pay Run",Costing[#Headers],0),0)</f>
        <v>10</v>
      </c>
    </row>
    <row r="123" spans="1:4" x14ac:dyDescent="0.2">
      <c r="A123" s="10" t="s">
        <v>13</v>
      </c>
      <c r="B123" s="10" t="s">
        <v>176</v>
      </c>
      <c r="C123" s="28" t="str">
        <f>VLOOKUP(Budgeted_Time[[#This Row],[Client]],Costing[],MATCH("Super Team",Costing[#Headers],0),0)</f>
        <v>Rachel</v>
      </c>
      <c r="D123" s="28">
        <f>VLOOKUP(Budgeted_Time[[#This Row],[Client]],Costing[],MATCH("Minutes/Super",Costing[#Headers],0),0)</f>
        <v>15</v>
      </c>
    </row>
    <row r="124" spans="1:4" x14ac:dyDescent="0.2">
      <c r="A124" s="10" t="s">
        <v>13</v>
      </c>
      <c r="B124" s="10" t="s">
        <v>177</v>
      </c>
      <c r="C124" s="28" t="str">
        <f>VLOOKUP(Budgeted_Time[[#This Row],[Client]],Costing[],MATCH("Bookkeeping Team",Costing[#Headers],0),0)</f>
        <v>Laurence</v>
      </c>
      <c r="D124" s="28">
        <f>VLOOKUP(Budgeted_Time[[#This Row],[Client]],Costing[],MATCH("Minutes/Activity",Costing[#Headers],0),0)</f>
        <v>140</v>
      </c>
    </row>
    <row r="125" spans="1:4" x14ac:dyDescent="0.2">
      <c r="A125" s="10" t="s">
        <v>13</v>
      </c>
      <c r="B125" s="10" t="s">
        <v>178</v>
      </c>
      <c r="C125" s="28" t="str">
        <f>VLOOKUP(Budgeted_Time[[#This Row],[Client]],Costing[],MATCH("Reporting Team",Costing[#Headers],0),0)</f>
        <v>Laurence</v>
      </c>
      <c r="D125" s="28">
        <f>VLOOKUP(Budgeted_Time[[#This Row],[Client]],Costing[],MATCH("Minutes/Report",Costing[#Headers],0),0)</f>
        <v>30</v>
      </c>
    </row>
    <row r="126" spans="1:4" x14ac:dyDescent="0.2">
      <c r="A126" s="10" t="s">
        <v>13</v>
      </c>
      <c r="B126" s="10" t="s">
        <v>179</v>
      </c>
      <c r="C126" s="28" t="str">
        <f>VLOOKUP(Budgeted_Time[[#This Row],[Client]],Costing[],MATCH("BAS 1 Team",Costing[#Headers],0),0)</f>
        <v>Rachel</v>
      </c>
      <c r="D126" s="28">
        <f>VLOOKUP(Budgeted_Time[[#This Row],[Client]],Costing[],MATCH("Minutes/BAS 1",Costing[#Headers],0),0)</f>
        <v>60</v>
      </c>
    </row>
    <row r="127" spans="1:4" x14ac:dyDescent="0.2">
      <c r="A127" s="10" t="s">
        <v>13</v>
      </c>
      <c r="B127" s="10" t="s">
        <v>180</v>
      </c>
      <c r="C127" s="28" t="str">
        <f>VLOOKUP(Budgeted_Time[[#This Row],[Client]],Costing[],MATCH("BAS 2 Team",Costing[#Headers],0),0)</f>
        <v>Rachel</v>
      </c>
      <c r="D127" s="28">
        <f>VLOOKUP(Budgeted_Time[[#This Row],[Client]],Costing[],MATCH("Minutes/BAS 2",Costing[#Headers],0),0)</f>
        <v>15</v>
      </c>
    </row>
    <row r="128" spans="1:4" x14ac:dyDescent="0.2">
      <c r="A128" s="10" t="s">
        <v>13</v>
      </c>
      <c r="B128" s="10" t="s">
        <v>181</v>
      </c>
      <c r="C128" s="28" t="str">
        <f>VLOOKUP(Budgeted_Time[[#This Row],[Client]],Costing[],MATCH("IAS Team",Costing[#Headers],0),0)</f>
        <v>Rachel</v>
      </c>
      <c r="D128" s="28">
        <f>VLOOKUP(Budgeted_Time[[#This Row],[Client]],Costing[],MATCH("Minutes/IAS",Costing[#Headers],0),0)</f>
        <v>30</v>
      </c>
    </row>
    <row r="129" spans="1:4" x14ac:dyDescent="0.2">
      <c r="A129" s="10" t="s">
        <v>13</v>
      </c>
      <c r="B129" s="10" t="s">
        <v>261</v>
      </c>
      <c r="C129" s="28" t="str">
        <f>VLOOKUP(Budgeted_Time[[#This Row],[Client]],Costing[],MATCH("EOFY Team 1",Costing[#Headers],0),0)</f>
        <v>Rachel</v>
      </c>
      <c r="D129" s="28">
        <f>VLOOKUP(Budgeted_Time[[#This Row],[Client]],Costing[],MATCH("Time Min 1",Costing[#Headers],0),0)</f>
        <v>120</v>
      </c>
    </row>
    <row r="130" spans="1:4" x14ac:dyDescent="0.2">
      <c r="A130" s="10" t="s">
        <v>13</v>
      </c>
      <c r="B130" s="10" t="s">
        <v>279</v>
      </c>
      <c r="C130" s="28" t="str">
        <f>VLOOKUP(Budgeted_Time[[#This Row],[Client]],Costing[],MATCH("EOFY Team 2",Costing[#Headers],0),0)</f>
        <v>Laurence</v>
      </c>
      <c r="D130" s="28">
        <f>VLOOKUP(Budgeted_Time[[#This Row],[Client]],Costing[],MATCH("Time Min 2",Costing[#Headers],0),0)</f>
        <v>120</v>
      </c>
    </row>
    <row r="131" spans="1:4" x14ac:dyDescent="0.2">
      <c r="A131" s="10" t="s">
        <v>13</v>
      </c>
      <c r="B131" s="10" t="s">
        <v>294</v>
      </c>
      <c r="C131" s="28" t="str">
        <f>VLOOKUP(Budgeted_Time[[#This Row],[Client]],Costing[],MATCH("Onboarding Team",Costing[#Headers],0),0)</f>
        <v>Laurence</v>
      </c>
      <c r="D131" s="28">
        <f>VLOOKUP(Budgeted_Time[[#This Row],[Client]],Costing[],MATCH("Onboarding Minutes",Costing[#Headers],0),0)</f>
        <v>833</v>
      </c>
    </row>
    <row r="132" spans="1:4" x14ac:dyDescent="0.2">
      <c r="A132" s="10" t="s">
        <v>14</v>
      </c>
      <c r="B132" s="10" t="s">
        <v>145</v>
      </c>
      <c r="C132" s="28">
        <f>VLOOKUP(Budgeted_Time[[#This Row],[Client]],Costing[],MATCH("Payroll Team",Costing[#Headers],0),0)</f>
        <v>0</v>
      </c>
      <c r="D132" s="28">
        <f>VLOOKUP(Budgeted_Time[[#This Row],[Client]],Costing[],MATCH("Minutes/Pay Run",Costing[#Headers],0),0)</f>
        <v>0</v>
      </c>
    </row>
    <row r="133" spans="1:4" x14ac:dyDescent="0.2">
      <c r="A133" s="10" t="s">
        <v>14</v>
      </c>
      <c r="B133" s="10" t="s">
        <v>176</v>
      </c>
      <c r="C133" s="28">
        <f>VLOOKUP(Budgeted_Time[[#This Row],[Client]],Costing[],MATCH("Super Team",Costing[#Headers],0),0)</f>
        <v>0</v>
      </c>
      <c r="D133" s="28">
        <f>VLOOKUP(Budgeted_Time[[#This Row],[Client]],Costing[],MATCH("Minutes/Super",Costing[#Headers],0),0)</f>
        <v>0</v>
      </c>
    </row>
    <row r="134" spans="1:4" x14ac:dyDescent="0.2">
      <c r="A134" s="10" t="s">
        <v>14</v>
      </c>
      <c r="B134" s="10" t="s">
        <v>177</v>
      </c>
      <c r="C134" s="28" t="str">
        <f>VLOOKUP(Budgeted_Time[[#This Row],[Client]],Costing[],MATCH("Bookkeeping Team",Costing[#Headers],0),0)</f>
        <v>Rachel</v>
      </c>
      <c r="D134" s="28">
        <f>VLOOKUP(Budgeted_Time[[#This Row],[Client]],Costing[],MATCH("Minutes/Activity",Costing[#Headers],0),0)</f>
        <v>115</v>
      </c>
    </row>
    <row r="135" spans="1:4" x14ac:dyDescent="0.2">
      <c r="A135" s="10" t="s">
        <v>14</v>
      </c>
      <c r="B135" s="10" t="s">
        <v>178</v>
      </c>
      <c r="C135" s="28" t="str">
        <f>VLOOKUP(Budgeted_Time[[#This Row],[Client]],Costing[],MATCH("Reporting Team",Costing[#Headers],0),0)</f>
        <v>Kim</v>
      </c>
      <c r="D135" s="28">
        <f>VLOOKUP(Budgeted_Time[[#This Row],[Client]],Costing[],MATCH("Minutes/Report",Costing[#Headers],0),0)</f>
        <v>60</v>
      </c>
    </row>
    <row r="136" spans="1:4" x14ac:dyDescent="0.2">
      <c r="A136" s="10" t="s">
        <v>14</v>
      </c>
      <c r="B136" s="10" t="s">
        <v>179</v>
      </c>
      <c r="C136" s="28" t="str">
        <f>VLOOKUP(Budgeted_Time[[#This Row],[Client]],Costing[],MATCH("BAS 1 Team",Costing[#Headers],0),0)</f>
        <v>Rachel</v>
      </c>
      <c r="D136" s="28">
        <f>VLOOKUP(Budgeted_Time[[#This Row],[Client]],Costing[],MATCH("Minutes/BAS 1",Costing[#Headers],0),0)</f>
        <v>60</v>
      </c>
    </row>
    <row r="137" spans="1:4" x14ac:dyDescent="0.2">
      <c r="A137" s="10" t="s">
        <v>14</v>
      </c>
      <c r="B137" s="10" t="s">
        <v>180</v>
      </c>
      <c r="C137" s="28" t="str">
        <f>VLOOKUP(Budgeted_Time[[#This Row],[Client]],Costing[],MATCH("BAS 2 Team",Costing[#Headers],0),0)</f>
        <v>Rachel</v>
      </c>
      <c r="D137" s="28">
        <f>VLOOKUP(Budgeted_Time[[#This Row],[Client]],Costing[],MATCH("Minutes/BAS 2",Costing[#Headers],0),0)</f>
        <v>15</v>
      </c>
    </row>
    <row r="138" spans="1:4" x14ac:dyDescent="0.2">
      <c r="A138" s="10" t="s">
        <v>14</v>
      </c>
      <c r="B138" s="10" t="s">
        <v>181</v>
      </c>
      <c r="C138" s="28">
        <f>VLOOKUP(Budgeted_Time[[#This Row],[Client]],Costing[],MATCH("IAS Team",Costing[#Headers],0),0)</f>
        <v>0</v>
      </c>
      <c r="D138" s="28">
        <f>VLOOKUP(Budgeted_Time[[#This Row],[Client]],Costing[],MATCH("Minutes/IAS",Costing[#Headers],0),0)</f>
        <v>0</v>
      </c>
    </row>
    <row r="139" spans="1:4" x14ac:dyDescent="0.2">
      <c r="A139" s="10" t="s">
        <v>14</v>
      </c>
      <c r="B139" s="10" t="s">
        <v>261</v>
      </c>
      <c r="C139" s="28" t="str">
        <f>VLOOKUP(Budgeted_Time[[#This Row],[Client]],Costing[],MATCH("EOFY Team 1",Costing[#Headers],0),0)</f>
        <v>Rachel</v>
      </c>
      <c r="D139" s="28">
        <f>VLOOKUP(Budgeted_Time[[#This Row],[Client]],Costing[],MATCH("Time Min 1",Costing[#Headers],0),0)</f>
        <v>120</v>
      </c>
    </row>
    <row r="140" spans="1:4" x14ac:dyDescent="0.2">
      <c r="A140" s="10" t="s">
        <v>14</v>
      </c>
      <c r="B140" s="10" t="s">
        <v>279</v>
      </c>
      <c r="C140" s="28" t="str">
        <f>VLOOKUP(Budgeted_Time[[#This Row],[Client]],Costing[],MATCH("EOFY Team 2",Costing[#Headers],0),0)</f>
        <v>Kim</v>
      </c>
      <c r="D140" s="28">
        <f>VLOOKUP(Budgeted_Time[[#This Row],[Client]],Costing[],MATCH("Time Min 2",Costing[#Headers],0),0)</f>
        <v>120</v>
      </c>
    </row>
    <row r="141" spans="1:4" x14ac:dyDescent="0.2">
      <c r="A141" s="10" t="s">
        <v>14</v>
      </c>
      <c r="B141" s="10" t="s">
        <v>294</v>
      </c>
      <c r="C141" s="28" t="str">
        <f>VLOOKUP(Budgeted_Time[[#This Row],[Client]],Costing[],MATCH("Onboarding Team",Costing[#Headers],0),0)</f>
        <v>Kim</v>
      </c>
      <c r="D141" s="28">
        <f>VLOOKUP(Budgeted_Time[[#This Row],[Client]],Costing[],MATCH("Onboarding Minutes",Costing[#Headers],0),0)</f>
        <v>684.25</v>
      </c>
    </row>
    <row r="142" spans="1:4" x14ac:dyDescent="0.2">
      <c r="A142" s="10" t="s">
        <v>15</v>
      </c>
      <c r="B142" s="10" t="s">
        <v>145</v>
      </c>
      <c r="C142" s="28" t="str">
        <f>VLOOKUP(Budgeted_Time[[#This Row],[Client]],Costing[],MATCH("Payroll Team",Costing[#Headers],0),0)</f>
        <v>Kathleen</v>
      </c>
      <c r="D142" s="28">
        <f>VLOOKUP(Budgeted_Time[[#This Row],[Client]],Costing[],MATCH("Minutes/Pay Run",Costing[#Headers],0),0)</f>
        <v>26</v>
      </c>
    </row>
    <row r="143" spans="1:4" x14ac:dyDescent="0.2">
      <c r="A143" s="10" t="s">
        <v>15</v>
      </c>
      <c r="B143" s="10" t="s">
        <v>176</v>
      </c>
      <c r="C143" s="28" t="str">
        <f>VLOOKUP(Budgeted_Time[[#This Row],[Client]],Costing[],MATCH("Super Team",Costing[#Headers],0),0)</f>
        <v>Kathleen</v>
      </c>
      <c r="D143" s="28">
        <f>VLOOKUP(Budgeted_Time[[#This Row],[Client]],Costing[],MATCH("Minutes/Super",Costing[#Headers],0),0)</f>
        <v>40</v>
      </c>
    </row>
    <row r="144" spans="1:4" x14ac:dyDescent="0.2">
      <c r="A144" s="10" t="s">
        <v>15</v>
      </c>
      <c r="B144" s="10" t="s">
        <v>177</v>
      </c>
      <c r="C144" s="28" t="str">
        <f>VLOOKUP(Budgeted_Time[[#This Row],[Client]],Costing[],MATCH("Bookkeeping Team",Costing[#Headers],0),0)</f>
        <v>Kathleen</v>
      </c>
      <c r="D144" s="28">
        <f>VLOOKUP(Budgeted_Time[[#This Row],[Client]],Costing[],MATCH("Minutes/Activity",Costing[#Headers],0),0)</f>
        <v>141</v>
      </c>
    </row>
    <row r="145" spans="1:4" x14ac:dyDescent="0.2">
      <c r="A145" s="10" t="s">
        <v>15</v>
      </c>
      <c r="B145" s="10" t="s">
        <v>178</v>
      </c>
      <c r="C145" s="28" t="str">
        <f>VLOOKUP(Budgeted_Time[[#This Row],[Client]],Costing[],MATCH("Reporting Team",Costing[#Headers],0),0)</f>
        <v>Laurence</v>
      </c>
      <c r="D145" s="28">
        <f>VLOOKUP(Budgeted_Time[[#This Row],[Client]],Costing[],MATCH("Minutes/Report",Costing[#Headers],0),0)</f>
        <v>100</v>
      </c>
    </row>
    <row r="146" spans="1:4" x14ac:dyDescent="0.2">
      <c r="A146" s="10" t="s">
        <v>15</v>
      </c>
      <c r="B146" s="10" t="s">
        <v>179</v>
      </c>
      <c r="C146" s="28" t="str">
        <f>VLOOKUP(Budgeted_Time[[#This Row],[Client]],Costing[],MATCH("BAS 1 Team",Costing[#Headers],0),0)</f>
        <v>Kathleen</v>
      </c>
      <c r="D146" s="28">
        <f>VLOOKUP(Budgeted_Time[[#This Row],[Client]],Costing[],MATCH("Minutes/BAS 1",Costing[#Headers],0),0)</f>
        <v>60</v>
      </c>
    </row>
    <row r="147" spans="1:4" x14ac:dyDescent="0.2">
      <c r="A147" s="10" t="s">
        <v>15</v>
      </c>
      <c r="B147" s="10" t="s">
        <v>180</v>
      </c>
      <c r="C147" s="28" t="str">
        <f>VLOOKUP(Budgeted_Time[[#This Row],[Client]],Costing[],MATCH("BAS 2 Team",Costing[#Headers],0),0)</f>
        <v>Rachel</v>
      </c>
      <c r="D147" s="28">
        <f>VLOOKUP(Budgeted_Time[[#This Row],[Client]],Costing[],MATCH("Minutes/BAS 2",Costing[#Headers],0),0)</f>
        <v>15</v>
      </c>
    </row>
    <row r="148" spans="1:4" x14ac:dyDescent="0.2">
      <c r="A148" s="10" t="s">
        <v>15</v>
      </c>
      <c r="B148" s="10" t="s">
        <v>181</v>
      </c>
      <c r="C148" s="28" t="str">
        <f>VLOOKUP(Budgeted_Time[[#This Row],[Client]],Costing[],MATCH("IAS Team",Costing[#Headers],0),0)</f>
        <v>Rachel</v>
      </c>
      <c r="D148" s="28">
        <f>VLOOKUP(Budgeted_Time[[#This Row],[Client]],Costing[],MATCH("Minutes/IAS",Costing[#Headers],0),0)</f>
        <v>30</v>
      </c>
    </row>
    <row r="149" spans="1:4" x14ac:dyDescent="0.2">
      <c r="A149" s="10" t="s">
        <v>15</v>
      </c>
      <c r="B149" s="10" t="s">
        <v>261</v>
      </c>
      <c r="C149" s="28" t="str">
        <f>VLOOKUP(Budgeted_Time[[#This Row],[Client]],Costing[],MATCH("EOFY Team 1",Costing[#Headers],0),0)</f>
        <v>Kathleen</v>
      </c>
      <c r="D149" s="28">
        <f>VLOOKUP(Budgeted_Time[[#This Row],[Client]],Costing[],MATCH("Time Min 1",Costing[#Headers],0),0)</f>
        <v>120</v>
      </c>
    </row>
    <row r="150" spans="1:4" x14ac:dyDescent="0.2">
      <c r="A150" s="10" t="s">
        <v>15</v>
      </c>
      <c r="B150" s="10" t="s">
        <v>279</v>
      </c>
      <c r="C150" s="28" t="str">
        <f>VLOOKUP(Budgeted_Time[[#This Row],[Client]],Costing[],MATCH("EOFY Team 2",Costing[#Headers],0),0)</f>
        <v>Laurence</v>
      </c>
      <c r="D150" s="28">
        <f>VLOOKUP(Budgeted_Time[[#This Row],[Client]],Costing[],MATCH("Time Min 2",Costing[#Headers],0),0)</f>
        <v>120</v>
      </c>
    </row>
    <row r="151" spans="1:4" x14ac:dyDescent="0.2">
      <c r="A151" s="10" t="s">
        <v>15</v>
      </c>
      <c r="B151" s="10" t="s">
        <v>294</v>
      </c>
      <c r="C151" s="28" t="str">
        <f>VLOOKUP(Budgeted_Time[[#This Row],[Client]],Costing[],MATCH("Onboarding Team",Costing[#Headers],0),0)</f>
        <v>Laurence</v>
      </c>
      <c r="D151" s="28">
        <f>VLOOKUP(Budgeted_Time[[#This Row],[Client]],Costing[],MATCH("Onboarding Minutes",Costing[#Headers],0),0)</f>
        <v>838.95</v>
      </c>
    </row>
    <row r="152" spans="1:4" x14ac:dyDescent="0.2">
      <c r="A152" s="10" t="s">
        <v>16</v>
      </c>
      <c r="B152" s="10" t="s">
        <v>145</v>
      </c>
      <c r="C152" s="28">
        <f>VLOOKUP(Budgeted_Time[[#This Row],[Client]],Costing[],MATCH("Payroll Team",Costing[#Headers],0),0)</f>
        <v>0</v>
      </c>
      <c r="D152" s="28">
        <f>VLOOKUP(Budgeted_Time[[#This Row],[Client]],Costing[],MATCH("Minutes/Pay Run",Costing[#Headers],0),0)</f>
        <v>0</v>
      </c>
    </row>
    <row r="153" spans="1:4" x14ac:dyDescent="0.2">
      <c r="A153" s="10" t="s">
        <v>16</v>
      </c>
      <c r="B153" s="10" t="s">
        <v>176</v>
      </c>
      <c r="C153" s="28">
        <f>VLOOKUP(Budgeted_Time[[#This Row],[Client]],Costing[],MATCH("Super Team",Costing[#Headers],0),0)</f>
        <v>0</v>
      </c>
      <c r="D153" s="28">
        <f>VLOOKUP(Budgeted_Time[[#This Row],[Client]],Costing[],MATCH("Minutes/Super",Costing[#Headers],0),0)</f>
        <v>0</v>
      </c>
    </row>
    <row r="154" spans="1:4" x14ac:dyDescent="0.2">
      <c r="A154" s="10" t="s">
        <v>16</v>
      </c>
      <c r="B154" s="10" t="s">
        <v>177</v>
      </c>
      <c r="C154" s="28" t="str">
        <f>VLOOKUP(Budgeted_Time[[#This Row],[Client]],Costing[],MATCH("Bookkeeping Team",Costing[#Headers],0),0)</f>
        <v>Kathryn</v>
      </c>
      <c r="D154" s="28">
        <f>VLOOKUP(Budgeted_Time[[#This Row],[Client]],Costing[],MATCH("Minutes/Activity",Costing[#Headers],0),0)</f>
        <v>75</v>
      </c>
    </row>
    <row r="155" spans="1:4" x14ac:dyDescent="0.2">
      <c r="A155" s="10" t="s">
        <v>16</v>
      </c>
      <c r="B155" s="10" t="s">
        <v>178</v>
      </c>
      <c r="C155" s="28" t="str">
        <f>VLOOKUP(Budgeted_Time[[#This Row],[Client]],Costing[],MATCH("Reporting Team",Costing[#Headers],0),0)</f>
        <v>Kim</v>
      </c>
      <c r="D155" s="28">
        <f>VLOOKUP(Budgeted_Time[[#This Row],[Client]],Costing[],MATCH("Minutes/Report",Costing[#Headers],0),0)</f>
        <v>15</v>
      </c>
    </row>
    <row r="156" spans="1:4" x14ac:dyDescent="0.2">
      <c r="A156" s="10" t="s">
        <v>16</v>
      </c>
      <c r="B156" s="10" t="s">
        <v>179</v>
      </c>
      <c r="C156" s="28">
        <f>VLOOKUP(Budgeted_Time[[#This Row],[Client]],Costing[],MATCH("BAS 1 Team",Costing[#Headers],0),0)</f>
        <v>0</v>
      </c>
      <c r="D156" s="28">
        <f>VLOOKUP(Budgeted_Time[[#This Row],[Client]],Costing[],MATCH("Minutes/BAS 1",Costing[#Headers],0),0)</f>
        <v>0</v>
      </c>
    </row>
    <row r="157" spans="1:4" x14ac:dyDescent="0.2">
      <c r="A157" s="10" t="s">
        <v>16</v>
      </c>
      <c r="B157" s="10" t="s">
        <v>180</v>
      </c>
      <c r="C157" s="28">
        <f>VLOOKUP(Budgeted_Time[[#This Row],[Client]],Costing[],MATCH("BAS 2 Team",Costing[#Headers],0),0)</f>
        <v>0</v>
      </c>
      <c r="D157" s="28">
        <f>VLOOKUP(Budgeted_Time[[#This Row],[Client]],Costing[],MATCH("Minutes/BAS 2",Costing[#Headers],0),0)</f>
        <v>0</v>
      </c>
    </row>
    <row r="158" spans="1:4" x14ac:dyDescent="0.2">
      <c r="A158" s="10" t="s">
        <v>16</v>
      </c>
      <c r="B158" s="10" t="s">
        <v>181</v>
      </c>
      <c r="C158" s="28">
        <f>VLOOKUP(Budgeted_Time[[#This Row],[Client]],Costing[],MATCH("IAS Team",Costing[#Headers],0),0)</f>
        <v>0</v>
      </c>
      <c r="D158" s="28">
        <f>VLOOKUP(Budgeted_Time[[#This Row],[Client]],Costing[],MATCH("Minutes/IAS",Costing[#Headers],0),0)</f>
        <v>0</v>
      </c>
    </row>
    <row r="159" spans="1:4" x14ac:dyDescent="0.2">
      <c r="A159" s="10" t="s">
        <v>16</v>
      </c>
      <c r="B159" s="10" t="s">
        <v>261</v>
      </c>
      <c r="C159" s="28" t="str">
        <f>VLOOKUP(Budgeted_Time[[#This Row],[Client]],Costing[],MATCH("EOFY Team 1",Costing[#Headers],0),0)</f>
        <v>Kathleen</v>
      </c>
      <c r="D159" s="28">
        <f>VLOOKUP(Budgeted_Time[[#This Row],[Client]],Costing[],MATCH("Time Min 1",Costing[#Headers],0),0)</f>
        <v>30</v>
      </c>
    </row>
    <row r="160" spans="1:4" x14ac:dyDescent="0.2">
      <c r="A160" s="10" t="s">
        <v>16</v>
      </c>
      <c r="B160" s="10" t="s">
        <v>279</v>
      </c>
      <c r="C160" s="28" t="str">
        <f>VLOOKUP(Budgeted_Time[[#This Row],[Client]],Costing[],MATCH("EOFY Team 2",Costing[#Headers],0),0)</f>
        <v>Kim</v>
      </c>
      <c r="D160" s="28">
        <f>VLOOKUP(Budgeted_Time[[#This Row],[Client]],Costing[],MATCH("Time Min 2",Costing[#Headers],0),0)</f>
        <v>30</v>
      </c>
    </row>
    <row r="161" spans="1:4" x14ac:dyDescent="0.2">
      <c r="A161" s="10" t="s">
        <v>16</v>
      </c>
      <c r="B161" s="10" t="s">
        <v>294</v>
      </c>
      <c r="C161" s="28" t="str">
        <f>VLOOKUP(Budgeted_Time[[#This Row],[Client]],Costing[],MATCH("Onboarding Team",Costing[#Headers],0),0)</f>
        <v>Kim</v>
      </c>
      <c r="D161" s="28">
        <f>VLOOKUP(Budgeted_Time[[#This Row],[Client]],Costing[],MATCH("Onboarding Minutes",Costing[#Headers],0),0)</f>
        <v>446.25</v>
      </c>
    </row>
    <row r="162" spans="1:4" x14ac:dyDescent="0.2">
      <c r="A162" s="10" t="s">
        <v>17</v>
      </c>
      <c r="B162" s="10" t="s">
        <v>145</v>
      </c>
      <c r="C162" s="28" t="str">
        <f>VLOOKUP(Budgeted_Time[[#This Row],[Client]],Costing[],MATCH("Payroll Team",Costing[#Headers],0),0)</f>
        <v>Joanna</v>
      </c>
      <c r="D162" s="28">
        <f>VLOOKUP(Budgeted_Time[[#This Row],[Client]],Costing[],MATCH("Minutes/Pay Run",Costing[#Headers],0),0)</f>
        <v>20</v>
      </c>
    </row>
    <row r="163" spans="1:4" x14ac:dyDescent="0.2">
      <c r="A163" s="10" t="s">
        <v>17</v>
      </c>
      <c r="B163" s="10" t="s">
        <v>176</v>
      </c>
      <c r="C163" s="28" t="str">
        <f>VLOOKUP(Budgeted_Time[[#This Row],[Client]],Costing[],MATCH("Super Team",Costing[#Headers],0),0)</f>
        <v>Joanna</v>
      </c>
      <c r="D163" s="28">
        <f>VLOOKUP(Budgeted_Time[[#This Row],[Client]],Costing[],MATCH("Minutes/Super",Costing[#Headers],0),0)</f>
        <v>20</v>
      </c>
    </row>
    <row r="164" spans="1:4" x14ac:dyDescent="0.2">
      <c r="A164" s="10" t="s">
        <v>17</v>
      </c>
      <c r="B164" s="10" t="s">
        <v>177</v>
      </c>
      <c r="C164" s="28" t="str">
        <f>VLOOKUP(Budgeted_Time[[#This Row],[Client]],Costing[],MATCH("Bookkeeping Team",Costing[#Headers],0),0)</f>
        <v>Joanna</v>
      </c>
      <c r="D164" s="28">
        <f>VLOOKUP(Budgeted_Time[[#This Row],[Client]],Costing[],MATCH("Minutes/Activity",Costing[#Headers],0),0)</f>
        <v>200</v>
      </c>
    </row>
    <row r="165" spans="1:4" x14ac:dyDescent="0.2">
      <c r="A165" s="10" t="s">
        <v>17</v>
      </c>
      <c r="B165" s="10" t="s">
        <v>178</v>
      </c>
      <c r="C165" s="28" t="str">
        <f>VLOOKUP(Budgeted_Time[[#This Row],[Client]],Costing[],MATCH("Reporting Team",Costing[#Headers],0),0)</f>
        <v>Laurence</v>
      </c>
      <c r="D165" s="28">
        <f>VLOOKUP(Budgeted_Time[[#This Row],[Client]],Costing[],MATCH("Minutes/Report",Costing[#Headers],0),0)</f>
        <v>150</v>
      </c>
    </row>
    <row r="166" spans="1:4" x14ac:dyDescent="0.2">
      <c r="A166" s="10" t="s">
        <v>17</v>
      </c>
      <c r="B166" s="10" t="s">
        <v>179</v>
      </c>
      <c r="C166" s="28" t="str">
        <f>VLOOKUP(Budgeted_Time[[#This Row],[Client]],Costing[],MATCH("BAS 1 Team",Costing[#Headers],0),0)</f>
        <v>Joanna</v>
      </c>
      <c r="D166" s="28">
        <f>VLOOKUP(Budgeted_Time[[#This Row],[Client]],Costing[],MATCH("Minutes/BAS 1",Costing[#Headers],0),0)</f>
        <v>60</v>
      </c>
    </row>
    <row r="167" spans="1:4" x14ac:dyDescent="0.2">
      <c r="A167" s="10" t="s">
        <v>17</v>
      </c>
      <c r="B167" s="10" t="s">
        <v>180</v>
      </c>
      <c r="C167" s="28" t="str">
        <f>VLOOKUP(Budgeted_Time[[#This Row],[Client]],Costing[],MATCH("BAS 2 Team",Costing[#Headers],0),0)</f>
        <v>Rachel</v>
      </c>
      <c r="D167" s="28">
        <f>VLOOKUP(Budgeted_Time[[#This Row],[Client]],Costing[],MATCH("Minutes/BAS 2",Costing[#Headers],0),0)</f>
        <v>15</v>
      </c>
    </row>
    <row r="168" spans="1:4" x14ac:dyDescent="0.2">
      <c r="A168" s="10" t="s">
        <v>17</v>
      </c>
      <c r="B168" s="10" t="s">
        <v>181</v>
      </c>
      <c r="C168" s="28" t="str">
        <f>VLOOKUP(Budgeted_Time[[#This Row],[Client]],Costing[],MATCH("IAS Team",Costing[#Headers],0),0)</f>
        <v>Rachel</v>
      </c>
      <c r="D168" s="28">
        <f>VLOOKUP(Budgeted_Time[[#This Row],[Client]],Costing[],MATCH("Minutes/IAS",Costing[#Headers],0),0)</f>
        <v>30</v>
      </c>
    </row>
    <row r="169" spans="1:4" x14ac:dyDescent="0.2">
      <c r="A169" s="10" t="s">
        <v>17</v>
      </c>
      <c r="B169" s="10" t="s">
        <v>261</v>
      </c>
      <c r="C169" s="28" t="str">
        <f>VLOOKUP(Budgeted_Time[[#This Row],[Client]],Costing[],MATCH("EOFY Team 1",Costing[#Headers],0),0)</f>
        <v>Joanna</v>
      </c>
      <c r="D169" s="28">
        <f>VLOOKUP(Budgeted_Time[[#This Row],[Client]],Costing[],MATCH("Time Min 1",Costing[#Headers],0),0)</f>
        <v>120</v>
      </c>
    </row>
    <row r="170" spans="1:4" x14ac:dyDescent="0.2">
      <c r="A170" s="10" t="s">
        <v>17</v>
      </c>
      <c r="B170" s="10" t="s">
        <v>279</v>
      </c>
      <c r="C170" s="28" t="str">
        <f>VLOOKUP(Budgeted_Time[[#This Row],[Client]],Costing[],MATCH("EOFY Team 2",Costing[#Headers],0),0)</f>
        <v>Laurence</v>
      </c>
      <c r="D170" s="28">
        <f>VLOOKUP(Budgeted_Time[[#This Row],[Client]],Costing[],MATCH("Time Min 2",Costing[#Headers],0),0)</f>
        <v>120</v>
      </c>
    </row>
    <row r="171" spans="1:4" x14ac:dyDescent="0.2">
      <c r="A171" s="10" t="s">
        <v>17</v>
      </c>
      <c r="B171" s="10" t="s">
        <v>294</v>
      </c>
      <c r="C171" s="28" t="str">
        <f>VLOOKUP(Budgeted_Time[[#This Row],[Client]],Costing[],MATCH("Onboarding Team",Costing[#Headers],0),0)</f>
        <v>Laurence</v>
      </c>
      <c r="D171" s="28">
        <f>VLOOKUP(Budgeted_Time[[#This Row],[Client]],Costing[],MATCH("Onboarding Minutes",Costing[#Headers],0),0)</f>
        <v>1190</v>
      </c>
    </row>
    <row r="172" spans="1:4" x14ac:dyDescent="0.2">
      <c r="A172" s="10" t="s">
        <v>18</v>
      </c>
      <c r="B172" s="10" t="s">
        <v>145</v>
      </c>
      <c r="C172" s="28">
        <f>VLOOKUP(Budgeted_Time[[#This Row],[Client]],Costing[],MATCH("Payroll Team",Costing[#Headers],0),0)</f>
        <v>0</v>
      </c>
      <c r="D172" s="28">
        <f>VLOOKUP(Budgeted_Time[[#This Row],[Client]],Costing[],MATCH("Minutes/Pay Run",Costing[#Headers],0),0)</f>
        <v>0</v>
      </c>
    </row>
    <row r="173" spans="1:4" x14ac:dyDescent="0.2">
      <c r="A173" s="10" t="s">
        <v>18</v>
      </c>
      <c r="B173" s="10" t="s">
        <v>176</v>
      </c>
      <c r="C173" s="28">
        <f>VLOOKUP(Budgeted_Time[[#This Row],[Client]],Costing[],MATCH("Super Team",Costing[#Headers],0),0)</f>
        <v>0</v>
      </c>
      <c r="D173" s="28">
        <f>VLOOKUP(Budgeted_Time[[#This Row],[Client]],Costing[],MATCH("Minutes/Super",Costing[#Headers],0),0)</f>
        <v>0</v>
      </c>
    </row>
    <row r="174" spans="1:4" x14ac:dyDescent="0.2">
      <c r="A174" s="10" t="s">
        <v>18</v>
      </c>
      <c r="B174" s="10" t="s">
        <v>177</v>
      </c>
      <c r="C174" s="28" t="str">
        <f>VLOOKUP(Budgeted_Time[[#This Row],[Client]],Costing[],MATCH("Bookkeeping Team",Costing[#Headers],0),0)</f>
        <v>Joanna</v>
      </c>
      <c r="D174" s="28">
        <f>VLOOKUP(Budgeted_Time[[#This Row],[Client]],Costing[],MATCH("Minutes/Activity",Costing[#Headers],0),0)</f>
        <v>30</v>
      </c>
    </row>
    <row r="175" spans="1:4" x14ac:dyDescent="0.2">
      <c r="A175" s="10" t="s">
        <v>18</v>
      </c>
      <c r="B175" s="10" t="s">
        <v>178</v>
      </c>
      <c r="C175" s="28">
        <f>VLOOKUP(Budgeted_Time[[#This Row],[Client]],Costing[],MATCH("Reporting Team",Costing[#Headers],0),0)</f>
        <v>0</v>
      </c>
      <c r="D175" s="28">
        <f>VLOOKUP(Budgeted_Time[[#This Row],[Client]],Costing[],MATCH("Minutes/Report",Costing[#Headers],0),0)</f>
        <v>0</v>
      </c>
    </row>
    <row r="176" spans="1:4" x14ac:dyDescent="0.2">
      <c r="A176" s="10" t="s">
        <v>18</v>
      </c>
      <c r="B176" s="10" t="s">
        <v>179</v>
      </c>
      <c r="C176" s="28" t="str">
        <f>VLOOKUP(Budgeted_Time[[#This Row],[Client]],Costing[],MATCH("BAS 1 Team",Costing[#Headers],0),0)</f>
        <v>Joanna</v>
      </c>
      <c r="D176" s="28">
        <f>VLOOKUP(Budgeted_Time[[#This Row],[Client]],Costing[],MATCH("Minutes/BAS 1",Costing[#Headers],0),0)</f>
        <v>60</v>
      </c>
    </row>
    <row r="177" spans="1:4" x14ac:dyDescent="0.2">
      <c r="A177" s="10" t="s">
        <v>18</v>
      </c>
      <c r="B177" s="10" t="s">
        <v>180</v>
      </c>
      <c r="C177" s="28" t="str">
        <f>VLOOKUP(Budgeted_Time[[#This Row],[Client]],Costing[],MATCH("BAS 2 Team",Costing[#Headers],0),0)</f>
        <v>Rachel</v>
      </c>
      <c r="D177" s="28">
        <f>VLOOKUP(Budgeted_Time[[#This Row],[Client]],Costing[],MATCH("Minutes/BAS 2",Costing[#Headers],0),0)</f>
        <v>15</v>
      </c>
    </row>
    <row r="178" spans="1:4" x14ac:dyDescent="0.2">
      <c r="A178" s="10" t="s">
        <v>18</v>
      </c>
      <c r="B178" s="10" t="s">
        <v>181</v>
      </c>
      <c r="C178" s="28">
        <f>VLOOKUP(Budgeted_Time[[#This Row],[Client]],Costing[],MATCH("IAS Team",Costing[#Headers],0),0)</f>
        <v>0</v>
      </c>
      <c r="D178" s="28">
        <f>VLOOKUP(Budgeted_Time[[#This Row],[Client]],Costing[],MATCH("Minutes/IAS",Costing[#Headers],0),0)</f>
        <v>0</v>
      </c>
    </row>
    <row r="179" spans="1:4" x14ac:dyDescent="0.2">
      <c r="A179" s="10" t="s">
        <v>18</v>
      </c>
      <c r="B179" s="10" t="s">
        <v>261</v>
      </c>
      <c r="C179" s="28">
        <f>VLOOKUP(Budgeted_Time[[#This Row],[Client]],Costing[],MATCH("EOFY Team 1",Costing[#Headers],0),0)</f>
        <v>0</v>
      </c>
      <c r="D179" s="28">
        <f>VLOOKUP(Budgeted_Time[[#This Row],[Client]],Costing[],MATCH("Time Min 1",Costing[#Headers],0),0)</f>
        <v>0</v>
      </c>
    </row>
    <row r="180" spans="1:4" x14ac:dyDescent="0.2">
      <c r="A180" s="10" t="s">
        <v>18</v>
      </c>
      <c r="B180" s="10" t="s">
        <v>279</v>
      </c>
      <c r="C180" s="28">
        <f>VLOOKUP(Budgeted_Time[[#This Row],[Client]],Costing[],MATCH("EOFY Team 2",Costing[#Headers],0),0)</f>
        <v>0</v>
      </c>
      <c r="D180" s="28">
        <f>VLOOKUP(Budgeted_Time[[#This Row],[Client]],Costing[],MATCH("Time Min 2",Costing[#Headers],0),0)</f>
        <v>0</v>
      </c>
    </row>
    <row r="181" spans="1:4" x14ac:dyDescent="0.2">
      <c r="A181" s="10" t="s">
        <v>18</v>
      </c>
      <c r="B181" s="10" t="s">
        <v>294</v>
      </c>
      <c r="C181" s="28" t="str">
        <f>VLOOKUP(Budgeted_Time[[#This Row],[Client]],Costing[],MATCH("Onboarding Team",Costing[#Headers],0),0)</f>
        <v>Laurence</v>
      </c>
      <c r="D181" s="28">
        <f>VLOOKUP(Budgeted_Time[[#This Row],[Client]],Costing[],MATCH("Onboarding Minutes",Costing[#Headers],0),0)</f>
        <v>178.5</v>
      </c>
    </row>
    <row r="182" spans="1:4" x14ac:dyDescent="0.2">
      <c r="A182" s="10" t="s">
        <v>19</v>
      </c>
      <c r="B182" s="10" t="s">
        <v>145</v>
      </c>
      <c r="C182" s="28">
        <f>VLOOKUP(Budgeted_Time[[#This Row],[Client]],Costing[],MATCH("Payroll Team",Costing[#Headers],0),0)</f>
        <v>0</v>
      </c>
      <c r="D182" s="28">
        <f>VLOOKUP(Budgeted_Time[[#This Row],[Client]],Costing[],MATCH("Minutes/Pay Run",Costing[#Headers],0),0)</f>
        <v>0</v>
      </c>
    </row>
    <row r="183" spans="1:4" x14ac:dyDescent="0.2">
      <c r="A183" s="10" t="s">
        <v>19</v>
      </c>
      <c r="B183" s="10" t="s">
        <v>176</v>
      </c>
      <c r="C183" s="28">
        <f>VLOOKUP(Budgeted_Time[[#This Row],[Client]],Costing[],MATCH("Super Team",Costing[#Headers],0),0)</f>
        <v>0</v>
      </c>
      <c r="D183" s="28">
        <f>VLOOKUP(Budgeted_Time[[#This Row],[Client]],Costing[],MATCH("Minutes/Super",Costing[#Headers],0),0)</f>
        <v>0</v>
      </c>
    </row>
    <row r="184" spans="1:4" x14ac:dyDescent="0.2">
      <c r="A184" s="10" t="s">
        <v>19</v>
      </c>
      <c r="B184" s="10" t="s">
        <v>177</v>
      </c>
      <c r="C184" s="28" t="str">
        <f>VLOOKUP(Budgeted_Time[[#This Row],[Client]],Costing[],MATCH("Bookkeeping Team",Costing[#Headers],0),0)</f>
        <v>Kathleen</v>
      </c>
      <c r="D184" s="28">
        <f>VLOOKUP(Budgeted_Time[[#This Row],[Client]],Costing[],MATCH("Minutes/Activity",Costing[#Headers],0),0)</f>
        <v>60</v>
      </c>
    </row>
    <row r="185" spans="1:4" x14ac:dyDescent="0.2">
      <c r="A185" s="10" t="s">
        <v>19</v>
      </c>
      <c r="B185" s="10" t="s">
        <v>178</v>
      </c>
      <c r="C185" s="28" t="str">
        <f>VLOOKUP(Budgeted_Time[[#This Row],[Client]],Costing[],MATCH("Reporting Team",Costing[#Headers],0),0)</f>
        <v>Kathleen</v>
      </c>
      <c r="D185" s="28">
        <f>VLOOKUP(Budgeted_Time[[#This Row],[Client]],Costing[],MATCH("Minutes/Report",Costing[#Headers],0),0)</f>
        <v>15</v>
      </c>
    </row>
    <row r="186" spans="1:4" x14ac:dyDescent="0.2">
      <c r="A186" s="10" t="s">
        <v>19</v>
      </c>
      <c r="B186" s="10" t="s">
        <v>179</v>
      </c>
      <c r="C186" s="28">
        <f>VLOOKUP(Budgeted_Time[[#This Row],[Client]],Costing[],MATCH("BAS 1 Team",Costing[#Headers],0),0)</f>
        <v>0</v>
      </c>
      <c r="D186" s="28">
        <f>VLOOKUP(Budgeted_Time[[#This Row],[Client]],Costing[],MATCH("Minutes/BAS 1",Costing[#Headers],0),0)</f>
        <v>0</v>
      </c>
    </row>
    <row r="187" spans="1:4" x14ac:dyDescent="0.2">
      <c r="A187" s="10" t="s">
        <v>19</v>
      </c>
      <c r="B187" s="10" t="s">
        <v>180</v>
      </c>
      <c r="C187" s="28" t="str">
        <f>VLOOKUP(Budgeted_Time[[#This Row],[Client]],Costing[],MATCH("BAS 2 Team",Costing[#Headers],0),0)</f>
        <v>Rachel</v>
      </c>
      <c r="D187" s="28">
        <f>VLOOKUP(Budgeted_Time[[#This Row],[Client]],Costing[],MATCH("Minutes/BAS 2",Costing[#Headers],0),0)</f>
        <v>15</v>
      </c>
    </row>
    <row r="188" spans="1:4" x14ac:dyDescent="0.2">
      <c r="A188" s="10" t="s">
        <v>19</v>
      </c>
      <c r="B188" s="10" t="s">
        <v>181</v>
      </c>
      <c r="C188" s="28">
        <f>VLOOKUP(Budgeted_Time[[#This Row],[Client]],Costing[],MATCH("IAS Team",Costing[#Headers],0),0)</f>
        <v>0</v>
      </c>
      <c r="D188" s="28">
        <f>VLOOKUP(Budgeted_Time[[#This Row],[Client]],Costing[],MATCH("Minutes/IAS",Costing[#Headers],0),0)</f>
        <v>0</v>
      </c>
    </row>
    <row r="189" spans="1:4" x14ac:dyDescent="0.2">
      <c r="A189" s="10" t="s">
        <v>19</v>
      </c>
      <c r="B189" s="10" t="s">
        <v>261</v>
      </c>
      <c r="C189" s="28" t="str">
        <f>VLOOKUP(Budgeted_Time[[#This Row],[Client]],Costing[],MATCH("EOFY Team 1",Costing[#Headers],0),0)</f>
        <v>Kathleen</v>
      </c>
      <c r="D189" s="28">
        <f>VLOOKUP(Budgeted_Time[[#This Row],[Client]],Costing[],MATCH("Time Min 1",Costing[#Headers],0),0)</f>
        <v>60</v>
      </c>
    </row>
    <row r="190" spans="1:4" x14ac:dyDescent="0.2">
      <c r="A190" s="10" t="s">
        <v>19</v>
      </c>
      <c r="B190" s="10" t="s">
        <v>279</v>
      </c>
      <c r="C190" s="28" t="str">
        <f>VLOOKUP(Budgeted_Time[[#This Row],[Client]],Costing[],MATCH("EOFY Team 2",Costing[#Headers],0),0)</f>
        <v>Kim</v>
      </c>
      <c r="D190" s="28">
        <f>VLOOKUP(Budgeted_Time[[#This Row],[Client]],Costing[],MATCH("Time Min 2",Costing[#Headers],0),0)</f>
        <v>60</v>
      </c>
    </row>
    <row r="191" spans="1:4" x14ac:dyDescent="0.2">
      <c r="A191" s="10" t="s">
        <v>19</v>
      </c>
      <c r="B191" s="10" t="s">
        <v>294</v>
      </c>
      <c r="C191" s="28" t="str">
        <f>VLOOKUP(Budgeted_Time[[#This Row],[Client]],Costing[],MATCH("Onboarding Team",Costing[#Headers],0),0)</f>
        <v>Kim</v>
      </c>
      <c r="D191" s="28">
        <f>VLOOKUP(Budgeted_Time[[#This Row],[Client]],Costing[],MATCH("Onboarding Minutes",Costing[#Headers],0),0)</f>
        <v>357</v>
      </c>
    </row>
    <row r="192" spans="1:4" x14ac:dyDescent="0.2">
      <c r="A192" s="10" t="s">
        <v>20</v>
      </c>
      <c r="B192" s="10" t="s">
        <v>145</v>
      </c>
      <c r="C192" s="28" t="str">
        <f>VLOOKUP(Budgeted_Time[[#This Row],[Client]],Costing[],MATCH("Payroll Team",Costing[#Headers],0),0)</f>
        <v>Kathleen</v>
      </c>
      <c r="D192" s="28">
        <f>VLOOKUP(Budgeted_Time[[#This Row],[Client]],Costing[],MATCH("Minutes/Pay Run",Costing[#Headers],0),0)</f>
        <v>15</v>
      </c>
    </row>
    <row r="193" spans="1:4" x14ac:dyDescent="0.2">
      <c r="A193" s="10" t="s">
        <v>20</v>
      </c>
      <c r="B193" s="10" t="s">
        <v>176</v>
      </c>
      <c r="C193" s="28" t="str">
        <f>VLOOKUP(Budgeted_Time[[#This Row],[Client]],Costing[],MATCH("Super Team",Costing[#Headers],0),0)</f>
        <v>Kathleen</v>
      </c>
      <c r="D193" s="28">
        <f>VLOOKUP(Budgeted_Time[[#This Row],[Client]],Costing[],MATCH("Minutes/Super",Costing[#Headers],0),0)</f>
        <v>15</v>
      </c>
    </row>
    <row r="194" spans="1:4" x14ac:dyDescent="0.2">
      <c r="A194" s="10" t="s">
        <v>20</v>
      </c>
      <c r="B194" s="10" t="s">
        <v>177</v>
      </c>
      <c r="C194" s="28" t="str">
        <f>VLOOKUP(Budgeted_Time[[#This Row],[Client]],Costing[],MATCH("Bookkeeping Team",Costing[#Headers],0),0)</f>
        <v>Kathleen</v>
      </c>
      <c r="D194" s="28">
        <f>VLOOKUP(Budgeted_Time[[#This Row],[Client]],Costing[],MATCH("Minutes/Activity",Costing[#Headers],0),0)</f>
        <v>360</v>
      </c>
    </row>
    <row r="195" spans="1:4" x14ac:dyDescent="0.2">
      <c r="A195" s="10" t="s">
        <v>20</v>
      </c>
      <c r="B195" s="10" t="s">
        <v>178</v>
      </c>
      <c r="C195" s="28" t="str">
        <f>VLOOKUP(Budgeted_Time[[#This Row],[Client]],Costing[],MATCH("Reporting Team",Costing[#Headers],0),0)</f>
        <v>Kim</v>
      </c>
      <c r="D195" s="28">
        <f>VLOOKUP(Budgeted_Time[[#This Row],[Client]],Costing[],MATCH("Minutes/Report",Costing[#Headers],0),0)</f>
        <v>60</v>
      </c>
    </row>
    <row r="196" spans="1:4" x14ac:dyDescent="0.2">
      <c r="A196" s="10" t="s">
        <v>20</v>
      </c>
      <c r="B196" s="10" t="s">
        <v>179</v>
      </c>
      <c r="C196" s="28" t="str">
        <f>VLOOKUP(Budgeted_Time[[#This Row],[Client]],Costing[],MATCH("BAS 1 Team",Costing[#Headers],0),0)</f>
        <v>Kathleen</v>
      </c>
      <c r="D196" s="28">
        <f>VLOOKUP(Budgeted_Time[[#This Row],[Client]],Costing[],MATCH("Minutes/BAS 1",Costing[#Headers],0),0)</f>
        <v>60</v>
      </c>
    </row>
    <row r="197" spans="1:4" x14ac:dyDescent="0.2">
      <c r="A197" s="10" t="s">
        <v>20</v>
      </c>
      <c r="B197" s="10" t="s">
        <v>180</v>
      </c>
      <c r="C197" s="28" t="str">
        <f>VLOOKUP(Budgeted_Time[[#This Row],[Client]],Costing[],MATCH("BAS 2 Team",Costing[#Headers],0),0)</f>
        <v>Rachel</v>
      </c>
      <c r="D197" s="28">
        <f>VLOOKUP(Budgeted_Time[[#This Row],[Client]],Costing[],MATCH("Minutes/BAS 2",Costing[#Headers],0),0)</f>
        <v>15</v>
      </c>
    </row>
    <row r="198" spans="1:4" x14ac:dyDescent="0.2">
      <c r="A198" s="10" t="s">
        <v>20</v>
      </c>
      <c r="B198" s="10" t="s">
        <v>181</v>
      </c>
      <c r="C198" s="28">
        <f>VLOOKUP(Budgeted_Time[[#This Row],[Client]],Costing[],MATCH("IAS Team",Costing[#Headers],0),0)</f>
        <v>0</v>
      </c>
      <c r="D198" s="28">
        <f>VLOOKUP(Budgeted_Time[[#This Row],[Client]],Costing[],MATCH("Minutes/IAS",Costing[#Headers],0),0)</f>
        <v>0</v>
      </c>
    </row>
    <row r="199" spans="1:4" x14ac:dyDescent="0.2">
      <c r="A199" s="10" t="s">
        <v>20</v>
      </c>
      <c r="B199" s="10" t="s">
        <v>261</v>
      </c>
      <c r="C199" s="28" t="str">
        <f>VLOOKUP(Budgeted_Time[[#This Row],[Client]],Costing[],MATCH("EOFY Team 1",Costing[#Headers],0),0)</f>
        <v>Kim</v>
      </c>
      <c r="D199" s="28">
        <f>VLOOKUP(Budgeted_Time[[#This Row],[Client]],Costing[],MATCH("Time Min 1",Costing[#Headers],0),0)</f>
        <v>150</v>
      </c>
    </row>
    <row r="200" spans="1:4" x14ac:dyDescent="0.2">
      <c r="A200" s="10" t="s">
        <v>20</v>
      </c>
      <c r="B200" s="10" t="s">
        <v>279</v>
      </c>
      <c r="C200" s="28" t="str">
        <f>VLOOKUP(Budgeted_Time[[#This Row],[Client]],Costing[],MATCH("EOFY Team 2",Costing[#Headers],0),0)</f>
        <v>Kathleen</v>
      </c>
      <c r="D200" s="28">
        <f>VLOOKUP(Budgeted_Time[[#This Row],[Client]],Costing[],MATCH("Time Min 2",Costing[#Headers],0),0)</f>
        <v>180</v>
      </c>
    </row>
    <row r="201" spans="1:4" x14ac:dyDescent="0.2">
      <c r="A201" s="10" t="s">
        <v>20</v>
      </c>
      <c r="B201" s="10" t="s">
        <v>294</v>
      </c>
      <c r="C201" s="28" t="str">
        <f>VLOOKUP(Budgeted_Time[[#This Row],[Client]],Costing[],MATCH("Onboarding Team",Costing[#Headers],0),0)</f>
        <v>Kim</v>
      </c>
      <c r="D201" s="28">
        <f>VLOOKUP(Budgeted_Time[[#This Row],[Client]],Costing[],MATCH("Onboarding Minutes",Costing[#Headers],0),0)</f>
        <v>2142</v>
      </c>
    </row>
    <row r="202" spans="1:4" x14ac:dyDescent="0.2">
      <c r="A202" s="10" t="s">
        <v>22</v>
      </c>
      <c r="B202" s="10" t="s">
        <v>145</v>
      </c>
      <c r="C202" s="28" t="str">
        <f>VLOOKUP(Budgeted_Time[[#This Row],[Client]],Costing[],MATCH("Payroll Team",Costing[#Headers],0),0)</f>
        <v>Kathryn</v>
      </c>
      <c r="D202" s="28">
        <f>VLOOKUP(Budgeted_Time[[#This Row],[Client]],Costing[],MATCH("Minutes/Pay Run",Costing[#Headers],0),0)</f>
        <v>15</v>
      </c>
    </row>
    <row r="203" spans="1:4" x14ac:dyDescent="0.2">
      <c r="A203" s="10" t="s">
        <v>22</v>
      </c>
      <c r="B203" s="10" t="s">
        <v>176</v>
      </c>
      <c r="C203" s="28" t="str">
        <f>VLOOKUP(Budgeted_Time[[#This Row],[Client]],Costing[],MATCH("Super Team",Costing[#Headers],0),0)</f>
        <v>Kathryn</v>
      </c>
      <c r="D203" s="28">
        <f>VLOOKUP(Budgeted_Time[[#This Row],[Client]],Costing[],MATCH("Minutes/Super",Costing[#Headers],0),0)</f>
        <v>15</v>
      </c>
    </row>
    <row r="204" spans="1:4" x14ac:dyDescent="0.2">
      <c r="A204" s="10" t="s">
        <v>22</v>
      </c>
      <c r="B204" s="10" t="s">
        <v>177</v>
      </c>
      <c r="C204" s="28" t="str">
        <f>VLOOKUP(Budgeted_Time[[#This Row],[Client]],Costing[],MATCH("Bookkeeping Team",Costing[#Headers],0),0)</f>
        <v>Kathryn</v>
      </c>
      <c r="D204" s="28">
        <f>VLOOKUP(Budgeted_Time[[#This Row],[Client]],Costing[],MATCH("Minutes/Activity",Costing[#Headers],0),0)</f>
        <v>180</v>
      </c>
    </row>
    <row r="205" spans="1:4" x14ac:dyDescent="0.2">
      <c r="A205" s="10" t="s">
        <v>22</v>
      </c>
      <c r="B205" s="10" t="s">
        <v>178</v>
      </c>
      <c r="C205" s="28" t="str">
        <f>VLOOKUP(Budgeted_Time[[#This Row],[Client]],Costing[],MATCH("Reporting Team",Costing[#Headers],0),0)</f>
        <v>Kathryn</v>
      </c>
      <c r="D205" s="28">
        <f>VLOOKUP(Budgeted_Time[[#This Row],[Client]],Costing[],MATCH("Minutes/Report",Costing[#Headers],0),0)</f>
        <v>30</v>
      </c>
    </row>
    <row r="206" spans="1:4" x14ac:dyDescent="0.2">
      <c r="A206" s="10" t="s">
        <v>22</v>
      </c>
      <c r="B206" s="10" t="s">
        <v>179</v>
      </c>
      <c r="C206" s="28" t="str">
        <f>VLOOKUP(Budgeted_Time[[#This Row],[Client]],Costing[],MATCH("BAS 1 Team",Costing[#Headers],0),0)</f>
        <v>Kathryn</v>
      </c>
      <c r="D206" s="28">
        <f>VLOOKUP(Budgeted_Time[[#This Row],[Client]],Costing[],MATCH("Minutes/BAS 1",Costing[#Headers],0),0)</f>
        <v>60</v>
      </c>
    </row>
    <row r="207" spans="1:4" x14ac:dyDescent="0.2">
      <c r="A207" s="10" t="s">
        <v>22</v>
      </c>
      <c r="B207" s="10" t="s">
        <v>180</v>
      </c>
      <c r="C207" s="28" t="str">
        <f>VLOOKUP(Budgeted_Time[[#This Row],[Client]],Costing[],MATCH("BAS 2 Team",Costing[#Headers],0),0)</f>
        <v>Rachel</v>
      </c>
      <c r="D207" s="28">
        <f>VLOOKUP(Budgeted_Time[[#This Row],[Client]],Costing[],MATCH("Minutes/BAS 2",Costing[#Headers],0),0)</f>
        <v>15</v>
      </c>
    </row>
    <row r="208" spans="1:4" x14ac:dyDescent="0.2">
      <c r="A208" s="10" t="s">
        <v>22</v>
      </c>
      <c r="B208" s="10" t="s">
        <v>181</v>
      </c>
      <c r="C208" s="28">
        <f>VLOOKUP(Budgeted_Time[[#This Row],[Client]],Costing[],MATCH("IAS Team",Costing[#Headers],0),0)</f>
        <v>0</v>
      </c>
      <c r="D208" s="28">
        <f>VLOOKUP(Budgeted_Time[[#This Row],[Client]],Costing[],MATCH("Minutes/IAS",Costing[#Headers],0),0)</f>
        <v>0</v>
      </c>
    </row>
    <row r="209" spans="1:4" x14ac:dyDescent="0.2">
      <c r="A209" s="10" t="s">
        <v>22</v>
      </c>
      <c r="B209" s="10" t="s">
        <v>261</v>
      </c>
      <c r="C209" s="28" t="str">
        <f>VLOOKUP(Budgeted_Time[[#This Row],[Client]],Costing[],MATCH("EOFY Team 1",Costing[#Headers],0),0)</f>
        <v>Kathryn</v>
      </c>
      <c r="D209" s="28">
        <f>VLOOKUP(Budgeted_Time[[#This Row],[Client]],Costing[],MATCH("Time Min 1",Costing[#Headers],0),0)</f>
        <v>120</v>
      </c>
    </row>
    <row r="210" spans="1:4" x14ac:dyDescent="0.2">
      <c r="A210" s="10" t="s">
        <v>22</v>
      </c>
      <c r="B210" s="10" t="s">
        <v>279</v>
      </c>
      <c r="C210" s="28" t="str">
        <f>VLOOKUP(Budgeted_Time[[#This Row],[Client]],Costing[],MATCH("EOFY Team 2",Costing[#Headers],0),0)</f>
        <v>Kim</v>
      </c>
      <c r="D210" s="28">
        <f>VLOOKUP(Budgeted_Time[[#This Row],[Client]],Costing[],MATCH("Time Min 2",Costing[#Headers],0),0)</f>
        <v>120</v>
      </c>
    </row>
    <row r="211" spans="1:4" x14ac:dyDescent="0.2">
      <c r="A211" s="10" t="s">
        <v>22</v>
      </c>
      <c r="B211" s="10" t="s">
        <v>294</v>
      </c>
      <c r="C211" s="28" t="str">
        <f>VLOOKUP(Budgeted_Time[[#This Row],[Client]],Costing[],MATCH("Onboarding Team",Costing[#Headers],0),0)</f>
        <v>Kim</v>
      </c>
      <c r="D211" s="28">
        <f>VLOOKUP(Budgeted_Time[[#This Row],[Client]],Costing[],MATCH("Onboarding Minutes",Costing[#Headers],0),0)</f>
        <v>1071</v>
      </c>
    </row>
    <row r="212" spans="1:4" x14ac:dyDescent="0.2">
      <c r="A212" s="10" t="s">
        <v>21</v>
      </c>
      <c r="B212" s="10" t="s">
        <v>145</v>
      </c>
      <c r="C212" s="28" t="str">
        <f>VLOOKUP(Budgeted_Time[[#This Row],[Client]],Costing[],MATCH("Payroll Team",Costing[#Headers],0),0)</f>
        <v>Joanna</v>
      </c>
      <c r="D212" s="28">
        <f>VLOOKUP(Budgeted_Time[[#This Row],[Client]],Costing[],MATCH("Minutes/Pay Run",Costing[#Headers],0),0)</f>
        <v>90</v>
      </c>
    </row>
    <row r="213" spans="1:4" x14ac:dyDescent="0.2">
      <c r="A213" s="10" t="s">
        <v>21</v>
      </c>
      <c r="B213" s="10" t="s">
        <v>176</v>
      </c>
      <c r="C213" s="28" t="str">
        <f>VLOOKUP(Budgeted_Time[[#This Row],[Client]],Costing[],MATCH("Super Team",Costing[#Headers],0),0)</f>
        <v>Joanna</v>
      </c>
      <c r="D213" s="28">
        <f>VLOOKUP(Budgeted_Time[[#This Row],[Client]],Costing[],MATCH("Minutes/Super",Costing[#Headers],0),0)</f>
        <v>45</v>
      </c>
    </row>
    <row r="214" spans="1:4" x14ac:dyDescent="0.2">
      <c r="A214" s="10" t="s">
        <v>21</v>
      </c>
      <c r="B214" s="10" t="s">
        <v>177</v>
      </c>
      <c r="C214" s="28" t="str">
        <f>VLOOKUP(Budgeted_Time[[#This Row],[Client]],Costing[],MATCH("Bookkeeping Team",Costing[#Headers],0),0)</f>
        <v>Joanna</v>
      </c>
      <c r="D214" s="28">
        <f>VLOOKUP(Budgeted_Time[[#This Row],[Client]],Costing[],MATCH("Minutes/Activity",Costing[#Headers],0),0)</f>
        <v>120</v>
      </c>
    </row>
    <row r="215" spans="1:4" x14ac:dyDescent="0.2">
      <c r="A215" s="10" t="s">
        <v>21</v>
      </c>
      <c r="B215" s="10" t="s">
        <v>178</v>
      </c>
      <c r="C215" s="28">
        <f>VLOOKUP(Budgeted_Time[[#This Row],[Client]],Costing[],MATCH("Reporting Team",Costing[#Headers],0),0)</f>
        <v>0</v>
      </c>
      <c r="D215" s="28">
        <f>VLOOKUP(Budgeted_Time[[#This Row],[Client]],Costing[],MATCH("Minutes/Report",Costing[#Headers],0),0)</f>
        <v>0</v>
      </c>
    </row>
    <row r="216" spans="1:4" x14ac:dyDescent="0.2">
      <c r="A216" s="10" t="s">
        <v>21</v>
      </c>
      <c r="B216" s="10" t="s">
        <v>179</v>
      </c>
      <c r="C216" s="28" t="str">
        <f>VLOOKUP(Budgeted_Time[[#This Row],[Client]],Costing[],MATCH("BAS 1 Team",Costing[#Headers],0),0)</f>
        <v>Joanna</v>
      </c>
      <c r="D216" s="28">
        <f>VLOOKUP(Budgeted_Time[[#This Row],[Client]],Costing[],MATCH("Minutes/BAS 1",Costing[#Headers],0),0)</f>
        <v>60</v>
      </c>
    </row>
    <row r="217" spans="1:4" x14ac:dyDescent="0.2">
      <c r="A217" s="10" t="s">
        <v>21</v>
      </c>
      <c r="B217" s="10" t="s">
        <v>180</v>
      </c>
      <c r="C217" s="28" t="str">
        <f>VLOOKUP(Budgeted_Time[[#This Row],[Client]],Costing[],MATCH("BAS 2 Team",Costing[#Headers],0),0)</f>
        <v>Rachel</v>
      </c>
      <c r="D217" s="28">
        <f>VLOOKUP(Budgeted_Time[[#This Row],[Client]],Costing[],MATCH("Minutes/BAS 2",Costing[#Headers],0),0)</f>
        <v>15</v>
      </c>
    </row>
    <row r="218" spans="1:4" x14ac:dyDescent="0.2">
      <c r="A218" s="10" t="s">
        <v>21</v>
      </c>
      <c r="B218" s="10" t="s">
        <v>181</v>
      </c>
      <c r="C218" s="28">
        <f>VLOOKUP(Budgeted_Time[[#This Row],[Client]],Costing[],MATCH("IAS Team",Costing[#Headers],0),0)</f>
        <v>0</v>
      </c>
      <c r="D218" s="28">
        <f>VLOOKUP(Budgeted_Time[[#This Row],[Client]],Costing[],MATCH("Minutes/IAS",Costing[#Headers],0),0)</f>
        <v>0</v>
      </c>
    </row>
    <row r="219" spans="1:4" x14ac:dyDescent="0.2">
      <c r="A219" s="10" t="s">
        <v>21</v>
      </c>
      <c r="B219" s="10" t="s">
        <v>261</v>
      </c>
      <c r="C219" s="28" t="str">
        <f>VLOOKUP(Budgeted_Time[[#This Row],[Client]],Costing[],MATCH("EOFY Team 1",Costing[#Headers],0),0)</f>
        <v>Joanna</v>
      </c>
      <c r="D219" s="28">
        <f>VLOOKUP(Budgeted_Time[[#This Row],[Client]],Costing[],MATCH("Time Min 1",Costing[#Headers],0),0)</f>
        <v>150</v>
      </c>
    </row>
    <row r="220" spans="1:4" x14ac:dyDescent="0.2">
      <c r="A220" s="10" t="s">
        <v>21</v>
      </c>
      <c r="B220" s="10" t="s">
        <v>279</v>
      </c>
      <c r="C220" s="28" t="str">
        <f>VLOOKUP(Budgeted_Time[[#This Row],[Client]],Costing[],MATCH("EOFY Team 2",Costing[#Headers],0),0)</f>
        <v>Laurence</v>
      </c>
      <c r="D220" s="28">
        <f>VLOOKUP(Budgeted_Time[[#This Row],[Client]],Costing[],MATCH("Time Min 2",Costing[#Headers],0),0)</f>
        <v>120</v>
      </c>
    </row>
    <row r="221" spans="1:4" x14ac:dyDescent="0.2">
      <c r="A221" s="10" t="s">
        <v>21</v>
      </c>
      <c r="B221" s="10" t="s">
        <v>294</v>
      </c>
      <c r="C221" s="28" t="str">
        <f>VLOOKUP(Budgeted_Time[[#This Row],[Client]],Costing[],MATCH("Onboarding Team",Costing[#Headers],0),0)</f>
        <v>Laurence</v>
      </c>
      <c r="D221" s="28">
        <f>VLOOKUP(Budgeted_Time[[#This Row],[Client]],Costing[],MATCH("Onboarding Minutes",Costing[#Headers],0),0)</f>
        <v>714</v>
      </c>
    </row>
    <row r="222" spans="1:4" x14ac:dyDescent="0.2">
      <c r="A222" s="10" t="s">
        <v>24</v>
      </c>
      <c r="B222" s="10" t="s">
        <v>145</v>
      </c>
      <c r="C222" s="28" t="str">
        <f>VLOOKUP(Budgeted_Time[[#This Row],[Client]],Costing[],MATCH("Payroll Team",Costing[#Headers],0),0)</f>
        <v>Joanna</v>
      </c>
      <c r="D222" s="28">
        <f>VLOOKUP(Budgeted_Time[[#This Row],[Client]],Costing[],MATCH("Minutes/Pay Run",Costing[#Headers],0),0)</f>
        <v>15</v>
      </c>
    </row>
    <row r="223" spans="1:4" x14ac:dyDescent="0.2">
      <c r="A223" s="10" t="s">
        <v>24</v>
      </c>
      <c r="B223" s="10" t="s">
        <v>176</v>
      </c>
      <c r="C223" s="28" t="str">
        <f>VLOOKUP(Budgeted_Time[[#This Row],[Client]],Costing[],MATCH("Super Team",Costing[#Headers],0),0)</f>
        <v>Joanna</v>
      </c>
      <c r="D223" s="28">
        <f>VLOOKUP(Budgeted_Time[[#This Row],[Client]],Costing[],MATCH("Minutes/Super",Costing[#Headers],0),0)</f>
        <v>15</v>
      </c>
    </row>
    <row r="224" spans="1:4" x14ac:dyDescent="0.2">
      <c r="A224" s="10" t="s">
        <v>24</v>
      </c>
      <c r="B224" s="10" t="s">
        <v>177</v>
      </c>
      <c r="C224" s="28" t="str">
        <f>VLOOKUP(Budgeted_Time[[#This Row],[Client]],Costing[],MATCH("Bookkeeping Team",Costing[#Headers],0),0)</f>
        <v>Joanna</v>
      </c>
      <c r="D224" s="28">
        <f>VLOOKUP(Budgeted_Time[[#This Row],[Client]],Costing[],MATCH("Minutes/Activity",Costing[#Headers],0),0)</f>
        <v>480</v>
      </c>
    </row>
    <row r="225" spans="1:4" x14ac:dyDescent="0.2">
      <c r="A225" s="10" t="s">
        <v>24</v>
      </c>
      <c r="B225" s="10" t="s">
        <v>178</v>
      </c>
      <c r="C225" s="28" t="str">
        <f>VLOOKUP(Budgeted_Time[[#This Row],[Client]],Costing[],MATCH("Reporting Team",Costing[#Headers],0),0)</f>
        <v>Laurence</v>
      </c>
      <c r="D225" s="28">
        <f>VLOOKUP(Budgeted_Time[[#This Row],[Client]],Costing[],MATCH("Minutes/Report",Costing[#Headers],0),0)</f>
        <v>20</v>
      </c>
    </row>
    <row r="226" spans="1:4" x14ac:dyDescent="0.2">
      <c r="A226" s="10" t="s">
        <v>24</v>
      </c>
      <c r="B226" s="10" t="s">
        <v>179</v>
      </c>
      <c r="C226" s="28" t="str">
        <f>VLOOKUP(Budgeted_Time[[#This Row],[Client]],Costing[],MATCH("BAS 1 Team",Costing[#Headers],0),0)</f>
        <v>Joanna</v>
      </c>
      <c r="D226" s="28">
        <f>VLOOKUP(Budgeted_Time[[#This Row],[Client]],Costing[],MATCH("Minutes/BAS 1",Costing[#Headers],0),0)</f>
        <v>60</v>
      </c>
    </row>
    <row r="227" spans="1:4" x14ac:dyDescent="0.2">
      <c r="A227" s="10" t="s">
        <v>24</v>
      </c>
      <c r="B227" s="10" t="s">
        <v>180</v>
      </c>
      <c r="C227" s="28" t="str">
        <f>VLOOKUP(Budgeted_Time[[#This Row],[Client]],Costing[],MATCH("BAS 2 Team",Costing[#Headers],0),0)</f>
        <v>Rachel</v>
      </c>
      <c r="D227" s="28">
        <f>VLOOKUP(Budgeted_Time[[#This Row],[Client]],Costing[],MATCH("Minutes/BAS 2",Costing[#Headers],0),0)</f>
        <v>15</v>
      </c>
    </row>
    <row r="228" spans="1:4" x14ac:dyDescent="0.2">
      <c r="A228" s="10" t="s">
        <v>24</v>
      </c>
      <c r="B228" s="10" t="s">
        <v>181</v>
      </c>
      <c r="C228" s="28">
        <f>VLOOKUP(Budgeted_Time[[#This Row],[Client]],Costing[],MATCH("IAS Team",Costing[#Headers],0),0)</f>
        <v>0</v>
      </c>
      <c r="D228" s="28">
        <f>VLOOKUP(Budgeted_Time[[#This Row],[Client]],Costing[],MATCH("Minutes/IAS",Costing[#Headers],0),0)</f>
        <v>0</v>
      </c>
    </row>
    <row r="229" spans="1:4" x14ac:dyDescent="0.2">
      <c r="A229" s="10" t="s">
        <v>24</v>
      </c>
      <c r="B229" s="10" t="s">
        <v>261</v>
      </c>
      <c r="C229" s="28" t="str">
        <f>VLOOKUP(Budgeted_Time[[#This Row],[Client]],Costing[],MATCH("EOFY Team 1",Costing[#Headers],0),0)</f>
        <v>Laurence</v>
      </c>
      <c r="D229" s="28">
        <f>VLOOKUP(Budgeted_Time[[#This Row],[Client]],Costing[],MATCH("Time Min 1",Costing[#Headers],0),0)</f>
        <v>240</v>
      </c>
    </row>
    <row r="230" spans="1:4" x14ac:dyDescent="0.2">
      <c r="A230" s="10" t="s">
        <v>24</v>
      </c>
      <c r="B230" s="10" t="s">
        <v>279</v>
      </c>
      <c r="C230" s="28" t="str">
        <f>VLOOKUP(Budgeted_Time[[#This Row],[Client]],Costing[],MATCH("EOFY Team 2",Costing[#Headers],0),0)</f>
        <v>Joanna</v>
      </c>
      <c r="D230" s="28">
        <f>VLOOKUP(Budgeted_Time[[#This Row],[Client]],Costing[],MATCH("Time Min 2",Costing[#Headers],0),0)</f>
        <v>240</v>
      </c>
    </row>
    <row r="231" spans="1:4" x14ac:dyDescent="0.2">
      <c r="A231" s="10" t="s">
        <v>24</v>
      </c>
      <c r="B231" s="10" t="s">
        <v>294</v>
      </c>
      <c r="C231" s="28" t="str">
        <f>VLOOKUP(Budgeted_Time[[#This Row],[Client]],Costing[],MATCH("Onboarding Team",Costing[#Headers],0),0)</f>
        <v>Laurence</v>
      </c>
      <c r="D231" s="28">
        <f>VLOOKUP(Budgeted_Time[[#This Row],[Client]],Costing[],MATCH("Onboarding Minutes",Costing[#Headers],0),0)</f>
        <v>2856</v>
      </c>
    </row>
    <row r="232" spans="1:4" x14ac:dyDescent="0.2">
      <c r="A232" s="10" t="s">
        <v>26</v>
      </c>
      <c r="B232" s="10" t="s">
        <v>145</v>
      </c>
      <c r="C232" s="28">
        <f>VLOOKUP(Budgeted_Time[[#This Row],[Client]],Costing[],MATCH("Payroll Team",Costing[#Headers],0),0)</f>
        <v>0</v>
      </c>
      <c r="D232" s="28">
        <f>VLOOKUP(Budgeted_Time[[#This Row],[Client]],Costing[],MATCH("Minutes/Pay Run",Costing[#Headers],0),0)</f>
        <v>0</v>
      </c>
    </row>
    <row r="233" spans="1:4" x14ac:dyDescent="0.2">
      <c r="A233" s="10" t="s">
        <v>26</v>
      </c>
      <c r="B233" s="10" t="s">
        <v>176</v>
      </c>
      <c r="C233" s="28">
        <f>VLOOKUP(Budgeted_Time[[#This Row],[Client]],Costing[],MATCH("Super Team",Costing[#Headers],0),0)</f>
        <v>0</v>
      </c>
      <c r="D233" s="28">
        <f>VLOOKUP(Budgeted_Time[[#This Row],[Client]],Costing[],MATCH("Minutes/Super",Costing[#Headers],0),0)</f>
        <v>0</v>
      </c>
    </row>
    <row r="234" spans="1:4" x14ac:dyDescent="0.2">
      <c r="A234" s="10" t="s">
        <v>26</v>
      </c>
      <c r="B234" s="10" t="s">
        <v>177</v>
      </c>
      <c r="C234" s="28" t="str">
        <f>VLOOKUP(Budgeted_Time[[#This Row],[Client]],Costing[],MATCH("Bookkeeping Team",Costing[#Headers],0),0)</f>
        <v>Kim</v>
      </c>
      <c r="D234" s="28">
        <f>VLOOKUP(Budgeted_Time[[#This Row],[Client]],Costing[],MATCH("Minutes/Activity",Costing[#Headers],0),0)</f>
        <v>45</v>
      </c>
    </row>
    <row r="235" spans="1:4" x14ac:dyDescent="0.2">
      <c r="A235" s="10" t="s">
        <v>26</v>
      </c>
      <c r="B235" s="10" t="s">
        <v>178</v>
      </c>
      <c r="C235" s="28">
        <f>VLOOKUP(Budgeted_Time[[#This Row],[Client]],Costing[],MATCH("Reporting Team",Costing[#Headers],0),0)</f>
        <v>0</v>
      </c>
      <c r="D235" s="28">
        <f>VLOOKUP(Budgeted_Time[[#This Row],[Client]],Costing[],MATCH("Minutes/Report",Costing[#Headers],0),0)</f>
        <v>0</v>
      </c>
    </row>
    <row r="236" spans="1:4" x14ac:dyDescent="0.2">
      <c r="A236" s="10" t="s">
        <v>26</v>
      </c>
      <c r="B236" s="10" t="s">
        <v>179</v>
      </c>
      <c r="C236" s="28" t="str">
        <f>VLOOKUP(Budgeted_Time[[#This Row],[Client]],Costing[],MATCH("BAS 1 Team",Costing[#Headers],0),0)</f>
        <v>Rachel</v>
      </c>
      <c r="D236" s="28">
        <f>VLOOKUP(Budgeted_Time[[#This Row],[Client]],Costing[],MATCH("Minutes/BAS 1",Costing[#Headers],0),0)</f>
        <v>60</v>
      </c>
    </row>
    <row r="237" spans="1:4" x14ac:dyDescent="0.2">
      <c r="A237" s="10" t="s">
        <v>26</v>
      </c>
      <c r="B237" s="10" t="s">
        <v>180</v>
      </c>
      <c r="C237" s="28" t="str">
        <f>VLOOKUP(Budgeted_Time[[#This Row],[Client]],Costing[],MATCH("BAS 2 Team",Costing[#Headers],0),0)</f>
        <v>Rachel</v>
      </c>
      <c r="D237" s="28">
        <f>VLOOKUP(Budgeted_Time[[#This Row],[Client]],Costing[],MATCH("Minutes/BAS 2",Costing[#Headers],0),0)</f>
        <v>15</v>
      </c>
    </row>
    <row r="238" spans="1:4" x14ac:dyDescent="0.2">
      <c r="A238" s="10" t="s">
        <v>26</v>
      </c>
      <c r="B238" s="10" t="s">
        <v>181</v>
      </c>
      <c r="C238" s="28">
        <f>VLOOKUP(Budgeted_Time[[#This Row],[Client]],Costing[],MATCH("IAS Team",Costing[#Headers],0),0)</f>
        <v>0</v>
      </c>
      <c r="D238" s="28">
        <f>VLOOKUP(Budgeted_Time[[#This Row],[Client]],Costing[],MATCH("Minutes/IAS",Costing[#Headers],0),0)</f>
        <v>0</v>
      </c>
    </row>
    <row r="239" spans="1:4" x14ac:dyDescent="0.2">
      <c r="A239" s="10" t="s">
        <v>26</v>
      </c>
      <c r="B239" s="10" t="s">
        <v>261</v>
      </c>
      <c r="C239" s="28" t="str">
        <f>VLOOKUP(Budgeted_Time[[#This Row],[Client]],Costing[],MATCH("EOFY Team 1",Costing[#Headers],0),0)</f>
        <v>Kim</v>
      </c>
      <c r="D239" s="28">
        <f>VLOOKUP(Budgeted_Time[[#This Row],[Client]],Costing[],MATCH("Time Min 1",Costing[#Headers],0),0)</f>
        <v>120</v>
      </c>
    </row>
    <row r="240" spans="1:4" x14ac:dyDescent="0.2">
      <c r="A240" s="10" t="s">
        <v>26</v>
      </c>
      <c r="B240" s="10" t="s">
        <v>279</v>
      </c>
      <c r="C240" s="28" t="str">
        <f>VLOOKUP(Budgeted_Time[[#This Row],[Client]],Costing[],MATCH("EOFY Team 2",Costing[#Headers],0),0)</f>
        <v>Kathleen</v>
      </c>
      <c r="D240" s="28">
        <f>VLOOKUP(Budgeted_Time[[#This Row],[Client]],Costing[],MATCH("Time Min 2",Costing[#Headers],0),0)</f>
        <v>120</v>
      </c>
    </row>
    <row r="241" spans="1:4" x14ac:dyDescent="0.2">
      <c r="A241" s="10" t="s">
        <v>26</v>
      </c>
      <c r="B241" s="10" t="s">
        <v>294</v>
      </c>
      <c r="C241" s="28" t="str">
        <f>VLOOKUP(Budgeted_Time[[#This Row],[Client]],Costing[],MATCH("Onboarding Team",Costing[#Headers],0),0)</f>
        <v>Laurence</v>
      </c>
      <c r="D241" s="28">
        <f>VLOOKUP(Budgeted_Time[[#This Row],[Client]],Costing[],MATCH("Onboarding Minutes",Costing[#Headers],0),0)</f>
        <v>267.75</v>
      </c>
    </row>
    <row r="242" spans="1:4" x14ac:dyDescent="0.2">
      <c r="A242" s="10" t="s">
        <v>27</v>
      </c>
      <c r="B242" s="10" t="s">
        <v>145</v>
      </c>
      <c r="C242" s="28" t="str">
        <f>VLOOKUP(Budgeted_Time[[#This Row],[Client]],Costing[],MATCH("Payroll Team",Costing[#Headers],0),0)</f>
        <v>Kathleen</v>
      </c>
      <c r="D242" s="28">
        <f>VLOOKUP(Budgeted_Time[[#This Row],[Client]],Costing[],MATCH("Minutes/Pay Run",Costing[#Headers],0),0)</f>
        <v>35</v>
      </c>
    </row>
    <row r="243" spans="1:4" x14ac:dyDescent="0.2">
      <c r="A243" s="10" t="s">
        <v>27</v>
      </c>
      <c r="B243" s="10" t="s">
        <v>176</v>
      </c>
      <c r="C243" s="28" t="str">
        <f>VLOOKUP(Budgeted_Time[[#This Row],[Client]],Costing[],MATCH("Super Team",Costing[#Headers],0),0)</f>
        <v>Kathleen</v>
      </c>
      <c r="D243" s="28">
        <f>VLOOKUP(Budgeted_Time[[#This Row],[Client]],Costing[],MATCH("Minutes/Super",Costing[#Headers],0),0)</f>
        <v>15</v>
      </c>
    </row>
    <row r="244" spans="1:4" x14ac:dyDescent="0.2">
      <c r="A244" s="10" t="s">
        <v>27</v>
      </c>
      <c r="B244" s="10" t="s">
        <v>177</v>
      </c>
      <c r="C244" s="28" t="str">
        <f>VLOOKUP(Budgeted_Time[[#This Row],[Client]],Costing[],MATCH("Bookkeeping Team",Costing[#Headers],0),0)</f>
        <v>Kathleen</v>
      </c>
      <c r="D244" s="28">
        <f>VLOOKUP(Budgeted_Time[[#This Row],[Client]],Costing[],MATCH("Minutes/Activity",Costing[#Headers],0),0)</f>
        <v>240</v>
      </c>
    </row>
    <row r="245" spans="1:4" x14ac:dyDescent="0.2">
      <c r="A245" s="10" t="s">
        <v>27</v>
      </c>
      <c r="B245" s="10" t="s">
        <v>178</v>
      </c>
      <c r="C245" s="28" t="str">
        <f>VLOOKUP(Budgeted_Time[[#This Row],[Client]],Costing[],MATCH("Reporting Team",Costing[#Headers],0),0)</f>
        <v>Kim</v>
      </c>
      <c r="D245" s="28">
        <f>VLOOKUP(Budgeted_Time[[#This Row],[Client]],Costing[],MATCH("Minutes/Report",Costing[#Headers],0),0)</f>
        <v>60</v>
      </c>
    </row>
    <row r="246" spans="1:4" x14ac:dyDescent="0.2">
      <c r="A246" s="10" t="s">
        <v>27</v>
      </c>
      <c r="B246" s="10" t="s">
        <v>179</v>
      </c>
      <c r="C246" s="28" t="str">
        <f>VLOOKUP(Budgeted_Time[[#This Row],[Client]],Costing[],MATCH("BAS 1 Team",Costing[#Headers],0),0)</f>
        <v>Kathleen</v>
      </c>
      <c r="D246" s="28">
        <f>VLOOKUP(Budgeted_Time[[#This Row],[Client]],Costing[],MATCH("Minutes/BAS 1",Costing[#Headers],0),0)</f>
        <v>60</v>
      </c>
    </row>
    <row r="247" spans="1:4" x14ac:dyDescent="0.2">
      <c r="A247" s="10" t="s">
        <v>27</v>
      </c>
      <c r="B247" s="10" t="s">
        <v>180</v>
      </c>
      <c r="C247" s="28" t="str">
        <f>VLOOKUP(Budgeted_Time[[#This Row],[Client]],Costing[],MATCH("BAS 2 Team",Costing[#Headers],0),0)</f>
        <v>Rachel</v>
      </c>
      <c r="D247" s="28">
        <f>VLOOKUP(Budgeted_Time[[#This Row],[Client]],Costing[],MATCH("Minutes/BAS 2",Costing[#Headers],0),0)</f>
        <v>15</v>
      </c>
    </row>
    <row r="248" spans="1:4" x14ac:dyDescent="0.2">
      <c r="A248" s="10" t="s">
        <v>27</v>
      </c>
      <c r="B248" s="10" t="s">
        <v>181</v>
      </c>
      <c r="C248" s="28">
        <f>VLOOKUP(Budgeted_Time[[#This Row],[Client]],Costing[],MATCH("IAS Team",Costing[#Headers],0),0)</f>
        <v>0</v>
      </c>
      <c r="D248" s="28">
        <f>VLOOKUP(Budgeted_Time[[#This Row],[Client]],Costing[],MATCH("Minutes/IAS",Costing[#Headers],0),0)</f>
        <v>0</v>
      </c>
    </row>
    <row r="249" spans="1:4" x14ac:dyDescent="0.2">
      <c r="A249" s="10" t="s">
        <v>27</v>
      </c>
      <c r="B249" s="10" t="s">
        <v>261</v>
      </c>
      <c r="C249" s="28" t="str">
        <f>VLOOKUP(Budgeted_Time[[#This Row],[Client]],Costing[],MATCH("EOFY Team 1",Costing[#Headers],0),0)</f>
        <v>Kim</v>
      </c>
      <c r="D249" s="28">
        <f>VLOOKUP(Budgeted_Time[[#This Row],[Client]],Costing[],MATCH("Time Min 1",Costing[#Headers],0),0)</f>
        <v>120</v>
      </c>
    </row>
    <row r="250" spans="1:4" x14ac:dyDescent="0.2">
      <c r="A250" s="10" t="s">
        <v>27</v>
      </c>
      <c r="B250" s="10" t="s">
        <v>279</v>
      </c>
      <c r="C250" s="28" t="str">
        <f>VLOOKUP(Budgeted_Time[[#This Row],[Client]],Costing[],MATCH("EOFY Team 2",Costing[#Headers],0),0)</f>
        <v>Kathleen</v>
      </c>
      <c r="D250" s="28">
        <f>VLOOKUP(Budgeted_Time[[#This Row],[Client]],Costing[],MATCH("Time Min 2",Costing[#Headers],0),0)</f>
        <v>120</v>
      </c>
    </row>
    <row r="251" spans="1:4" x14ac:dyDescent="0.2">
      <c r="A251" s="10" t="s">
        <v>27</v>
      </c>
      <c r="B251" s="10" t="s">
        <v>294</v>
      </c>
      <c r="C251" s="28" t="str">
        <f>VLOOKUP(Budgeted_Time[[#This Row],[Client]],Costing[],MATCH("Onboarding Team",Costing[#Headers],0),0)</f>
        <v>Kim</v>
      </c>
      <c r="D251" s="28">
        <f>VLOOKUP(Budgeted_Time[[#This Row],[Client]],Costing[],MATCH("Onboarding Minutes",Costing[#Headers],0),0)</f>
        <v>1428</v>
      </c>
    </row>
    <row r="252" spans="1:4" x14ac:dyDescent="0.2">
      <c r="A252" s="10" t="s">
        <v>28</v>
      </c>
      <c r="B252" s="10" t="s">
        <v>145</v>
      </c>
      <c r="C252" s="28" t="str">
        <f>VLOOKUP(Budgeted_Time[[#This Row],[Client]],Costing[],MATCH("Payroll Team",Costing[#Headers],0),0)</f>
        <v>Rachel</v>
      </c>
      <c r="D252" s="28">
        <f>VLOOKUP(Budgeted_Time[[#This Row],[Client]],Costing[],MATCH("Minutes/Pay Run",Costing[#Headers],0),0)</f>
        <v>10</v>
      </c>
    </row>
    <row r="253" spans="1:4" x14ac:dyDescent="0.2">
      <c r="A253" s="10" t="s">
        <v>28</v>
      </c>
      <c r="B253" s="10" t="s">
        <v>176</v>
      </c>
      <c r="C253" s="28" t="str">
        <f>VLOOKUP(Budgeted_Time[[#This Row],[Client]],Costing[],MATCH("Super Team",Costing[#Headers],0),0)</f>
        <v>Rachel</v>
      </c>
      <c r="D253" s="28">
        <f>VLOOKUP(Budgeted_Time[[#This Row],[Client]],Costing[],MATCH("Minutes/Super",Costing[#Headers],0),0)</f>
        <v>10</v>
      </c>
    </row>
    <row r="254" spans="1:4" x14ac:dyDescent="0.2">
      <c r="A254" s="10" t="s">
        <v>28</v>
      </c>
      <c r="B254" s="10" t="s">
        <v>177</v>
      </c>
      <c r="C254" s="28" t="str">
        <f>VLOOKUP(Budgeted_Time[[#This Row],[Client]],Costing[],MATCH("Bookkeeping Team",Costing[#Headers],0),0)</f>
        <v>Rachel</v>
      </c>
      <c r="D254" s="28">
        <f>VLOOKUP(Budgeted_Time[[#This Row],[Client]],Costing[],MATCH("Minutes/Activity",Costing[#Headers],0),0)</f>
        <v>240</v>
      </c>
    </row>
    <row r="255" spans="1:4" x14ac:dyDescent="0.2">
      <c r="A255" s="10" t="s">
        <v>28</v>
      </c>
      <c r="B255" s="10" t="s">
        <v>178</v>
      </c>
      <c r="C255" s="28" t="str">
        <f>VLOOKUP(Budgeted_Time[[#This Row],[Client]],Costing[],MATCH("Reporting Team",Costing[#Headers],0),0)</f>
        <v>Laurence</v>
      </c>
      <c r="D255" s="28">
        <f>VLOOKUP(Budgeted_Time[[#This Row],[Client]],Costing[],MATCH("Minutes/Report",Costing[#Headers],0),0)</f>
        <v>360</v>
      </c>
    </row>
    <row r="256" spans="1:4" x14ac:dyDescent="0.2">
      <c r="A256" s="10" t="s">
        <v>28</v>
      </c>
      <c r="B256" s="10" t="s">
        <v>179</v>
      </c>
      <c r="C256" s="28" t="str">
        <f>VLOOKUP(Budgeted_Time[[#This Row],[Client]],Costing[],MATCH("BAS 1 Team",Costing[#Headers],0),0)</f>
        <v>Rachel</v>
      </c>
      <c r="D256" s="28">
        <f>VLOOKUP(Budgeted_Time[[#This Row],[Client]],Costing[],MATCH("Minutes/BAS 1",Costing[#Headers],0),0)</f>
        <v>60</v>
      </c>
    </row>
    <row r="257" spans="1:4" x14ac:dyDescent="0.2">
      <c r="A257" s="10" t="s">
        <v>28</v>
      </c>
      <c r="B257" s="10" t="s">
        <v>180</v>
      </c>
      <c r="C257" s="28" t="str">
        <f>VLOOKUP(Budgeted_Time[[#This Row],[Client]],Costing[],MATCH("BAS 2 Team",Costing[#Headers],0),0)</f>
        <v>Rachel</v>
      </c>
      <c r="D257" s="28">
        <f>VLOOKUP(Budgeted_Time[[#This Row],[Client]],Costing[],MATCH("Minutes/BAS 2",Costing[#Headers],0),0)</f>
        <v>15</v>
      </c>
    </row>
    <row r="258" spans="1:4" x14ac:dyDescent="0.2">
      <c r="A258" s="10" t="s">
        <v>28</v>
      </c>
      <c r="B258" s="10" t="s">
        <v>181</v>
      </c>
      <c r="C258" s="28">
        <f>VLOOKUP(Budgeted_Time[[#This Row],[Client]],Costing[],MATCH("IAS Team",Costing[#Headers],0),0)</f>
        <v>0</v>
      </c>
      <c r="D258" s="28">
        <f>VLOOKUP(Budgeted_Time[[#This Row],[Client]],Costing[],MATCH("Minutes/IAS",Costing[#Headers],0),0)</f>
        <v>0</v>
      </c>
    </row>
    <row r="259" spans="1:4" x14ac:dyDescent="0.2">
      <c r="A259" s="10" t="s">
        <v>28</v>
      </c>
      <c r="B259" s="10" t="s">
        <v>261</v>
      </c>
      <c r="C259" s="28" t="str">
        <f>VLOOKUP(Budgeted_Time[[#This Row],[Client]],Costing[],MATCH("EOFY Team 1",Costing[#Headers],0),0)</f>
        <v>Laurence</v>
      </c>
      <c r="D259" s="28">
        <f>VLOOKUP(Budgeted_Time[[#This Row],[Client]],Costing[],MATCH("Time Min 1",Costing[#Headers],0),0)</f>
        <v>120</v>
      </c>
    </row>
    <row r="260" spans="1:4" x14ac:dyDescent="0.2">
      <c r="A260" s="10" t="s">
        <v>28</v>
      </c>
      <c r="B260" s="10" t="s">
        <v>279</v>
      </c>
      <c r="C260" s="28" t="str">
        <f>VLOOKUP(Budgeted_Time[[#This Row],[Client]],Costing[],MATCH("EOFY Team 2",Costing[#Headers],0),0)</f>
        <v>Rachel</v>
      </c>
      <c r="D260" s="28">
        <f>VLOOKUP(Budgeted_Time[[#This Row],[Client]],Costing[],MATCH("Time Min 2",Costing[#Headers],0),0)</f>
        <v>120</v>
      </c>
    </row>
    <row r="261" spans="1:4" x14ac:dyDescent="0.2">
      <c r="A261" s="10" t="s">
        <v>28</v>
      </c>
      <c r="B261" s="10" t="s">
        <v>294</v>
      </c>
      <c r="C261" s="28" t="str">
        <f>VLOOKUP(Budgeted_Time[[#This Row],[Client]],Costing[],MATCH("Onboarding Team",Costing[#Headers],0),0)</f>
        <v>Laurence</v>
      </c>
      <c r="D261" s="28">
        <f>VLOOKUP(Budgeted_Time[[#This Row],[Client]],Costing[],MATCH("Onboarding Minutes",Costing[#Headers],0),0)</f>
        <v>1428</v>
      </c>
    </row>
    <row r="262" spans="1:4" x14ac:dyDescent="0.2">
      <c r="A262" s="10" t="s">
        <v>29</v>
      </c>
      <c r="B262" s="10" t="s">
        <v>145</v>
      </c>
      <c r="C262" s="28" t="str">
        <f>VLOOKUP(Budgeted_Time[[#This Row],[Client]],Costing[],MATCH("Payroll Team",Costing[#Headers],0),0)</f>
        <v>Rachel</v>
      </c>
      <c r="D262" s="28">
        <f>VLOOKUP(Budgeted_Time[[#This Row],[Client]],Costing[],MATCH("Minutes/Pay Run",Costing[#Headers],0),0)</f>
        <v>30</v>
      </c>
    </row>
    <row r="263" spans="1:4" x14ac:dyDescent="0.2">
      <c r="A263" s="10" t="s">
        <v>29</v>
      </c>
      <c r="B263" s="10" t="s">
        <v>176</v>
      </c>
      <c r="C263" s="28" t="str">
        <f>VLOOKUP(Budgeted_Time[[#This Row],[Client]],Costing[],MATCH("Super Team",Costing[#Headers],0),0)</f>
        <v>Rachel</v>
      </c>
      <c r="D263" s="28">
        <f>VLOOKUP(Budgeted_Time[[#This Row],[Client]],Costing[],MATCH("Minutes/Super",Costing[#Headers],0),0)</f>
        <v>15</v>
      </c>
    </row>
    <row r="264" spans="1:4" x14ac:dyDescent="0.2">
      <c r="A264" s="10" t="s">
        <v>29</v>
      </c>
      <c r="B264" s="10" t="s">
        <v>177</v>
      </c>
      <c r="C264" s="28" t="str">
        <f>VLOOKUP(Budgeted_Time[[#This Row],[Client]],Costing[],MATCH("Bookkeeping Team",Costing[#Headers],0),0)</f>
        <v>Rachel</v>
      </c>
      <c r="D264" s="28">
        <f>VLOOKUP(Budgeted_Time[[#This Row],[Client]],Costing[],MATCH("Minutes/Activity",Costing[#Headers],0),0)</f>
        <v>120</v>
      </c>
    </row>
    <row r="265" spans="1:4" x14ac:dyDescent="0.2">
      <c r="A265" s="10" t="s">
        <v>29</v>
      </c>
      <c r="B265" s="10" t="s">
        <v>178</v>
      </c>
      <c r="C265" s="28" t="str">
        <f>VLOOKUP(Budgeted_Time[[#This Row],[Client]],Costing[],MATCH("Reporting Team",Costing[#Headers],0),0)</f>
        <v>Kim</v>
      </c>
      <c r="D265" s="28">
        <f>VLOOKUP(Budgeted_Time[[#This Row],[Client]],Costing[],MATCH("Minutes/Report",Costing[#Headers],0),0)</f>
        <v>20</v>
      </c>
    </row>
    <row r="266" spans="1:4" x14ac:dyDescent="0.2">
      <c r="A266" s="10" t="s">
        <v>29</v>
      </c>
      <c r="B266" s="10" t="s">
        <v>179</v>
      </c>
      <c r="C266" s="28" t="str">
        <f>VLOOKUP(Budgeted_Time[[#This Row],[Client]],Costing[],MATCH("BAS 1 Team",Costing[#Headers],0),0)</f>
        <v>Rachel</v>
      </c>
      <c r="D266" s="28">
        <f>VLOOKUP(Budgeted_Time[[#This Row],[Client]],Costing[],MATCH("Minutes/BAS 1",Costing[#Headers],0),0)</f>
        <v>60</v>
      </c>
    </row>
    <row r="267" spans="1:4" x14ac:dyDescent="0.2">
      <c r="A267" s="10" t="s">
        <v>29</v>
      </c>
      <c r="B267" s="10" t="s">
        <v>180</v>
      </c>
      <c r="C267" s="28" t="str">
        <f>VLOOKUP(Budgeted_Time[[#This Row],[Client]],Costing[],MATCH("BAS 2 Team",Costing[#Headers],0),0)</f>
        <v>Rachel</v>
      </c>
      <c r="D267" s="28">
        <f>VLOOKUP(Budgeted_Time[[#This Row],[Client]],Costing[],MATCH("Minutes/BAS 2",Costing[#Headers],0),0)</f>
        <v>15</v>
      </c>
    </row>
    <row r="268" spans="1:4" x14ac:dyDescent="0.2">
      <c r="A268" s="10" t="s">
        <v>29</v>
      </c>
      <c r="B268" s="10" t="s">
        <v>181</v>
      </c>
      <c r="C268" s="28">
        <f>VLOOKUP(Budgeted_Time[[#This Row],[Client]],Costing[],MATCH("IAS Team",Costing[#Headers],0),0)</f>
        <v>0</v>
      </c>
      <c r="D268" s="28">
        <f>VLOOKUP(Budgeted_Time[[#This Row],[Client]],Costing[],MATCH("Minutes/IAS",Costing[#Headers],0),0)</f>
        <v>0</v>
      </c>
    </row>
    <row r="269" spans="1:4" x14ac:dyDescent="0.2">
      <c r="A269" s="10" t="s">
        <v>29</v>
      </c>
      <c r="B269" s="10" t="s">
        <v>261</v>
      </c>
      <c r="C269" s="28" t="str">
        <f>VLOOKUP(Budgeted_Time[[#This Row],[Client]],Costing[],MATCH("EOFY Team 1",Costing[#Headers],0),0)</f>
        <v>Kim</v>
      </c>
      <c r="D269" s="28">
        <f>VLOOKUP(Budgeted_Time[[#This Row],[Client]],Costing[],MATCH("Time Min 1",Costing[#Headers],0),0)</f>
        <v>120</v>
      </c>
    </row>
    <row r="270" spans="1:4" x14ac:dyDescent="0.2">
      <c r="A270" s="10" t="s">
        <v>29</v>
      </c>
      <c r="B270" s="10" t="s">
        <v>279</v>
      </c>
      <c r="C270" s="28" t="str">
        <f>VLOOKUP(Budgeted_Time[[#This Row],[Client]],Costing[],MATCH("EOFY Team 2",Costing[#Headers],0),0)</f>
        <v>Rachel</v>
      </c>
      <c r="D270" s="28">
        <f>VLOOKUP(Budgeted_Time[[#This Row],[Client]],Costing[],MATCH("Time Min 2",Costing[#Headers],0),0)</f>
        <v>120</v>
      </c>
    </row>
    <row r="271" spans="1:4" x14ac:dyDescent="0.2">
      <c r="A271" s="10" t="s">
        <v>29</v>
      </c>
      <c r="B271" s="10" t="s">
        <v>294</v>
      </c>
      <c r="C271" s="28" t="str">
        <f>VLOOKUP(Budgeted_Time[[#This Row],[Client]],Costing[],MATCH("Onboarding Team",Costing[#Headers],0),0)</f>
        <v>Kim</v>
      </c>
      <c r="D271" s="28">
        <f>VLOOKUP(Budgeted_Time[[#This Row],[Client]],Costing[],MATCH("Onboarding Minutes",Costing[#Headers],0),0)</f>
        <v>714</v>
      </c>
    </row>
    <row r="272" spans="1:4" x14ac:dyDescent="0.2">
      <c r="A272" s="10" t="s">
        <v>30</v>
      </c>
      <c r="B272" s="10" t="s">
        <v>145</v>
      </c>
      <c r="C272" s="28">
        <f>VLOOKUP(Budgeted_Time[[#This Row],[Client]],Costing[],MATCH("Payroll Team",Costing[#Headers],0),0)</f>
        <v>0</v>
      </c>
      <c r="D272" s="28">
        <f>VLOOKUP(Budgeted_Time[[#This Row],[Client]],Costing[],MATCH("Minutes/Pay Run",Costing[#Headers],0),0)</f>
        <v>0</v>
      </c>
    </row>
    <row r="273" spans="1:4" x14ac:dyDescent="0.2">
      <c r="A273" s="10" t="s">
        <v>30</v>
      </c>
      <c r="B273" s="10" t="s">
        <v>176</v>
      </c>
      <c r="C273" s="28">
        <f>VLOOKUP(Budgeted_Time[[#This Row],[Client]],Costing[],MATCH("Super Team",Costing[#Headers],0),0)</f>
        <v>0</v>
      </c>
      <c r="D273" s="28">
        <f>VLOOKUP(Budgeted_Time[[#This Row],[Client]],Costing[],MATCH("Minutes/Super",Costing[#Headers],0),0)</f>
        <v>0</v>
      </c>
    </row>
    <row r="274" spans="1:4" x14ac:dyDescent="0.2">
      <c r="A274" s="10" t="s">
        <v>30</v>
      </c>
      <c r="B274" s="10" t="s">
        <v>177</v>
      </c>
      <c r="C274" s="28" t="str">
        <f>VLOOKUP(Budgeted_Time[[#This Row],[Client]],Costing[],MATCH("Bookkeeping Team",Costing[#Headers],0),0)</f>
        <v>Kim</v>
      </c>
      <c r="D274" s="28">
        <f>VLOOKUP(Budgeted_Time[[#This Row],[Client]],Costing[],MATCH("Minutes/Activity",Costing[#Headers],0),0)</f>
        <v>120</v>
      </c>
    </row>
    <row r="275" spans="1:4" x14ac:dyDescent="0.2">
      <c r="A275" s="10" t="s">
        <v>30</v>
      </c>
      <c r="B275" s="10" t="s">
        <v>178</v>
      </c>
      <c r="C275" s="28">
        <f>VLOOKUP(Budgeted_Time[[#This Row],[Client]],Costing[],MATCH("Reporting Team",Costing[#Headers],0),0)</f>
        <v>0</v>
      </c>
      <c r="D275" s="28">
        <f>VLOOKUP(Budgeted_Time[[#This Row],[Client]],Costing[],MATCH("Minutes/Report",Costing[#Headers],0),0)</f>
        <v>0</v>
      </c>
    </row>
    <row r="276" spans="1:4" x14ac:dyDescent="0.2">
      <c r="A276" s="10" t="s">
        <v>30</v>
      </c>
      <c r="B276" s="10" t="s">
        <v>179</v>
      </c>
      <c r="C276" s="28" t="str">
        <f>VLOOKUP(Budgeted_Time[[#This Row],[Client]],Costing[],MATCH("BAS 1 Team",Costing[#Headers],0),0)</f>
        <v>Kathleen</v>
      </c>
      <c r="D276" s="28">
        <f>VLOOKUP(Budgeted_Time[[#This Row],[Client]],Costing[],MATCH("Minutes/BAS 1",Costing[#Headers],0),0)</f>
        <v>60</v>
      </c>
    </row>
    <row r="277" spans="1:4" x14ac:dyDescent="0.2">
      <c r="A277" s="10" t="s">
        <v>30</v>
      </c>
      <c r="B277" s="10" t="s">
        <v>180</v>
      </c>
      <c r="C277" s="28" t="str">
        <f>VLOOKUP(Budgeted_Time[[#This Row],[Client]],Costing[],MATCH("BAS 2 Team",Costing[#Headers],0),0)</f>
        <v>Rachel</v>
      </c>
      <c r="D277" s="28">
        <f>VLOOKUP(Budgeted_Time[[#This Row],[Client]],Costing[],MATCH("Minutes/BAS 2",Costing[#Headers],0),0)</f>
        <v>15</v>
      </c>
    </row>
    <row r="278" spans="1:4" x14ac:dyDescent="0.2">
      <c r="A278" s="10" t="s">
        <v>30</v>
      </c>
      <c r="B278" s="10" t="s">
        <v>181</v>
      </c>
      <c r="C278" s="28" t="str">
        <f>VLOOKUP(Budgeted_Time[[#This Row],[Client]],Costing[],MATCH("IAS Team",Costing[#Headers],0),0)</f>
        <v>Rachel</v>
      </c>
      <c r="D278" s="28">
        <f>VLOOKUP(Budgeted_Time[[#This Row],[Client]],Costing[],MATCH("Minutes/IAS",Costing[#Headers],0),0)</f>
        <v>30</v>
      </c>
    </row>
    <row r="279" spans="1:4" x14ac:dyDescent="0.2">
      <c r="A279" s="10" t="s">
        <v>30</v>
      </c>
      <c r="B279" s="10" t="s">
        <v>261</v>
      </c>
      <c r="C279" s="28" t="str">
        <f>VLOOKUP(Budgeted_Time[[#This Row],[Client]],Costing[],MATCH("EOFY Team 1",Costing[#Headers],0),0)</f>
        <v>Kim</v>
      </c>
      <c r="D279" s="28">
        <f>VLOOKUP(Budgeted_Time[[#This Row],[Client]],Costing[],MATCH("Time Min 1",Costing[#Headers],0),0)</f>
        <v>150</v>
      </c>
    </row>
    <row r="280" spans="1:4" x14ac:dyDescent="0.2">
      <c r="A280" s="10" t="s">
        <v>30</v>
      </c>
      <c r="B280" s="10" t="s">
        <v>279</v>
      </c>
      <c r="C280" s="28">
        <f>VLOOKUP(Budgeted_Time[[#This Row],[Client]],Costing[],MATCH("EOFY Team 2",Costing[#Headers],0),0)</f>
        <v>0</v>
      </c>
      <c r="D280" s="28">
        <f>VLOOKUP(Budgeted_Time[[#This Row],[Client]],Costing[],MATCH("Time Min 2",Costing[#Headers],0),0)</f>
        <v>0</v>
      </c>
    </row>
    <row r="281" spans="1:4" x14ac:dyDescent="0.2">
      <c r="A281" s="10" t="s">
        <v>30</v>
      </c>
      <c r="B281" s="10" t="s">
        <v>294</v>
      </c>
      <c r="C281" s="28" t="str">
        <f>VLOOKUP(Budgeted_Time[[#This Row],[Client]],Costing[],MATCH("Onboarding Team",Costing[#Headers],0),0)</f>
        <v>Kim</v>
      </c>
      <c r="D281" s="28">
        <f>VLOOKUP(Budgeted_Time[[#This Row],[Client]],Costing[],MATCH("Onboarding Minutes",Costing[#Headers],0),0)</f>
        <v>714</v>
      </c>
    </row>
    <row r="282" spans="1:4" x14ac:dyDescent="0.2">
      <c r="A282" s="10" t="s">
        <v>25</v>
      </c>
      <c r="B282" s="10" t="s">
        <v>145</v>
      </c>
      <c r="C282" s="28" t="str">
        <f>VLOOKUP(Budgeted_Time[[#This Row],[Client]],Costing[],MATCH("Payroll Team",Costing[#Headers],0),0)</f>
        <v>Joanna</v>
      </c>
      <c r="D282" s="28">
        <f>VLOOKUP(Budgeted_Time[[#This Row],[Client]],Costing[],MATCH("Minutes/Pay Run",Costing[#Headers],0),0)</f>
        <v>20</v>
      </c>
    </row>
    <row r="283" spans="1:4" x14ac:dyDescent="0.2">
      <c r="A283" s="10" t="s">
        <v>25</v>
      </c>
      <c r="B283" s="10" t="s">
        <v>176</v>
      </c>
      <c r="C283" s="28" t="str">
        <f>VLOOKUP(Budgeted_Time[[#This Row],[Client]],Costing[],MATCH("Super Team",Costing[#Headers],0),0)</f>
        <v>Joanna</v>
      </c>
      <c r="D283" s="28">
        <f>VLOOKUP(Budgeted_Time[[#This Row],[Client]],Costing[],MATCH("Minutes/Super",Costing[#Headers],0),0)</f>
        <v>15</v>
      </c>
    </row>
    <row r="284" spans="1:4" x14ac:dyDescent="0.2">
      <c r="A284" s="10" t="s">
        <v>25</v>
      </c>
      <c r="B284" s="10" t="s">
        <v>177</v>
      </c>
      <c r="C284" s="28">
        <f>VLOOKUP(Budgeted_Time[[#This Row],[Client]],Costing[],MATCH("Bookkeeping Team",Costing[#Headers],0),0)</f>
        <v>0</v>
      </c>
      <c r="D284" s="28">
        <f>VLOOKUP(Budgeted_Time[[#This Row],[Client]],Costing[],MATCH("Minutes/Activity",Costing[#Headers],0),0)</f>
        <v>0</v>
      </c>
    </row>
    <row r="285" spans="1:4" x14ac:dyDescent="0.2">
      <c r="A285" s="10" t="s">
        <v>25</v>
      </c>
      <c r="B285" s="10" t="s">
        <v>178</v>
      </c>
      <c r="C285" s="28">
        <f>VLOOKUP(Budgeted_Time[[#This Row],[Client]],Costing[],MATCH("Reporting Team",Costing[#Headers],0),0)</f>
        <v>0</v>
      </c>
      <c r="D285" s="28">
        <f>VLOOKUP(Budgeted_Time[[#This Row],[Client]],Costing[],MATCH("Minutes/Report",Costing[#Headers],0),0)</f>
        <v>0</v>
      </c>
    </row>
    <row r="286" spans="1:4" x14ac:dyDescent="0.2">
      <c r="A286" s="10" t="s">
        <v>25</v>
      </c>
      <c r="B286" s="10" t="s">
        <v>179</v>
      </c>
      <c r="C286" s="28" t="str">
        <f>VLOOKUP(Budgeted_Time[[#This Row],[Client]],Costing[],MATCH("BAS 1 Team",Costing[#Headers],0),0)</f>
        <v>Joanna</v>
      </c>
      <c r="D286" s="28">
        <f>VLOOKUP(Budgeted_Time[[#This Row],[Client]],Costing[],MATCH("Minutes/BAS 1",Costing[#Headers],0),0)</f>
        <v>60</v>
      </c>
    </row>
    <row r="287" spans="1:4" x14ac:dyDescent="0.2">
      <c r="A287" s="10" t="s">
        <v>25</v>
      </c>
      <c r="B287" s="10" t="s">
        <v>180</v>
      </c>
      <c r="C287" s="28" t="str">
        <f>VLOOKUP(Budgeted_Time[[#This Row],[Client]],Costing[],MATCH("BAS 2 Team",Costing[#Headers],0),0)</f>
        <v>Rachel</v>
      </c>
      <c r="D287" s="28">
        <f>VLOOKUP(Budgeted_Time[[#This Row],[Client]],Costing[],MATCH("Minutes/BAS 2",Costing[#Headers],0),0)</f>
        <v>15</v>
      </c>
    </row>
    <row r="288" spans="1:4" x14ac:dyDescent="0.2">
      <c r="A288" s="10" t="s">
        <v>25</v>
      </c>
      <c r="B288" s="10" t="s">
        <v>181</v>
      </c>
      <c r="C288" s="28">
        <f>VLOOKUP(Budgeted_Time[[#This Row],[Client]],Costing[],MATCH("IAS Team",Costing[#Headers],0),0)</f>
        <v>0</v>
      </c>
      <c r="D288" s="28">
        <f>VLOOKUP(Budgeted_Time[[#This Row],[Client]],Costing[],MATCH("Minutes/IAS",Costing[#Headers],0),0)</f>
        <v>0</v>
      </c>
    </row>
    <row r="289" spans="1:4" x14ac:dyDescent="0.2">
      <c r="A289" s="10" t="s">
        <v>25</v>
      </c>
      <c r="B289" s="10" t="s">
        <v>261</v>
      </c>
      <c r="C289" s="28">
        <f>VLOOKUP(Budgeted_Time[[#This Row],[Client]],Costing[],MATCH("EOFY Team 1",Costing[#Headers],0),0)</f>
        <v>0</v>
      </c>
      <c r="D289" s="28">
        <f>VLOOKUP(Budgeted_Time[[#This Row],[Client]],Costing[],MATCH("Time Min 1",Costing[#Headers],0),0)</f>
        <v>0</v>
      </c>
    </row>
    <row r="290" spans="1:4" x14ac:dyDescent="0.2">
      <c r="A290" s="10" t="s">
        <v>25</v>
      </c>
      <c r="B290" s="10" t="s">
        <v>279</v>
      </c>
      <c r="C290" s="28">
        <f>VLOOKUP(Budgeted_Time[[#This Row],[Client]],Costing[],MATCH("EOFY Team 2",Costing[#Headers],0),0)</f>
        <v>0</v>
      </c>
      <c r="D290" s="28">
        <f>VLOOKUP(Budgeted_Time[[#This Row],[Client]],Costing[],MATCH("Time Min 2",Costing[#Headers],0),0)</f>
        <v>0</v>
      </c>
    </row>
    <row r="291" spans="1:4" x14ac:dyDescent="0.2">
      <c r="A291" s="10" t="s">
        <v>25</v>
      </c>
      <c r="B291" s="10" t="s">
        <v>294</v>
      </c>
      <c r="C291" s="28">
        <f>VLOOKUP(Budgeted_Time[[#This Row],[Client]],Costing[],MATCH("Onboarding Team",Costing[#Headers],0),0)</f>
        <v>0</v>
      </c>
      <c r="D291" s="28" t="str">
        <f>VLOOKUP(Budgeted_Time[[#This Row],[Client]],Costing[],MATCH("Onboarding Minutes",Costing[#Headers],0),0)</f>
        <v/>
      </c>
    </row>
    <row r="292" spans="1:4" x14ac:dyDescent="0.2">
      <c r="A292" s="10" t="s">
        <v>275</v>
      </c>
      <c r="B292" s="10" t="s">
        <v>145</v>
      </c>
      <c r="C292" s="28">
        <f>VLOOKUP(Budgeted_Time[[#This Row],[Client]],Costing[],MATCH("Payroll Team",Costing[#Headers],0),0)</f>
        <v>0</v>
      </c>
      <c r="D292" s="28">
        <f>VLOOKUP(Budgeted_Time[[#This Row],[Client]],Costing[],MATCH("Minutes/Pay Run",Costing[#Headers],0),0)</f>
        <v>0</v>
      </c>
    </row>
    <row r="293" spans="1:4" x14ac:dyDescent="0.2">
      <c r="A293" s="10" t="s">
        <v>275</v>
      </c>
      <c r="B293" s="10" t="s">
        <v>176</v>
      </c>
      <c r="C293" s="28">
        <f>VLOOKUP(Budgeted_Time[[#This Row],[Client]],Costing[],MATCH("Super Team",Costing[#Headers],0),0)</f>
        <v>0</v>
      </c>
      <c r="D293" s="28">
        <f>VLOOKUP(Budgeted_Time[[#This Row],[Client]],Costing[],MATCH("Minutes/Super",Costing[#Headers],0),0)</f>
        <v>0</v>
      </c>
    </row>
    <row r="294" spans="1:4" x14ac:dyDescent="0.2">
      <c r="A294" s="10" t="s">
        <v>275</v>
      </c>
      <c r="B294" s="10" t="s">
        <v>177</v>
      </c>
      <c r="C294" s="28" t="str">
        <f>VLOOKUP(Budgeted_Time[[#This Row],[Client]],Costing[],MATCH("Bookkeeping Team",Costing[#Headers],0),0)</f>
        <v>Kathleen</v>
      </c>
      <c r="D294" s="28">
        <f>VLOOKUP(Budgeted_Time[[#This Row],[Client]],Costing[],MATCH("Minutes/Activity",Costing[#Headers],0),0)</f>
        <v>286</v>
      </c>
    </row>
    <row r="295" spans="1:4" x14ac:dyDescent="0.2">
      <c r="A295" s="10" t="s">
        <v>275</v>
      </c>
      <c r="B295" s="10" t="s">
        <v>178</v>
      </c>
      <c r="C295" s="28" t="str">
        <f>VLOOKUP(Budgeted_Time[[#This Row],[Client]],Costing[],MATCH("Reporting Team",Costing[#Headers],0),0)</f>
        <v>Laurence</v>
      </c>
      <c r="D295" s="28">
        <f>VLOOKUP(Budgeted_Time[[#This Row],[Client]],Costing[],MATCH("Minutes/Report",Costing[#Headers],0),0)</f>
        <v>20</v>
      </c>
    </row>
    <row r="296" spans="1:4" x14ac:dyDescent="0.2">
      <c r="A296" s="10" t="s">
        <v>275</v>
      </c>
      <c r="B296" s="10" t="s">
        <v>179</v>
      </c>
      <c r="C296" s="28" t="str">
        <f>VLOOKUP(Budgeted_Time[[#This Row],[Client]],Costing[],MATCH("BAS 1 Team",Costing[#Headers],0),0)</f>
        <v>Kathleen</v>
      </c>
      <c r="D296" s="28">
        <f>VLOOKUP(Budgeted_Time[[#This Row],[Client]],Costing[],MATCH("Minutes/BAS 1",Costing[#Headers],0),0)</f>
        <v>60</v>
      </c>
    </row>
    <row r="297" spans="1:4" x14ac:dyDescent="0.2">
      <c r="A297" s="10" t="s">
        <v>275</v>
      </c>
      <c r="B297" s="10" t="s">
        <v>180</v>
      </c>
      <c r="C297" s="28" t="str">
        <f>VLOOKUP(Budgeted_Time[[#This Row],[Client]],Costing[],MATCH("BAS 2 Team",Costing[#Headers],0),0)</f>
        <v>Rachel</v>
      </c>
      <c r="D297" s="28">
        <f>VLOOKUP(Budgeted_Time[[#This Row],[Client]],Costing[],MATCH("Minutes/BAS 2",Costing[#Headers],0),0)</f>
        <v>15</v>
      </c>
    </row>
    <row r="298" spans="1:4" x14ac:dyDescent="0.2">
      <c r="A298" s="10" t="s">
        <v>275</v>
      </c>
      <c r="B298" s="10" t="s">
        <v>181</v>
      </c>
      <c r="C298" s="28">
        <f>VLOOKUP(Budgeted_Time[[#This Row],[Client]],Costing[],MATCH("IAS Team",Costing[#Headers],0),0)</f>
        <v>0</v>
      </c>
      <c r="D298" s="28">
        <f>VLOOKUP(Budgeted_Time[[#This Row],[Client]],Costing[],MATCH("Minutes/IAS",Costing[#Headers],0),0)</f>
        <v>0</v>
      </c>
    </row>
    <row r="299" spans="1:4" x14ac:dyDescent="0.2">
      <c r="A299" s="10" t="s">
        <v>275</v>
      </c>
      <c r="B299" s="10" t="s">
        <v>261</v>
      </c>
      <c r="C299" s="28" t="str">
        <f>VLOOKUP(Budgeted_Time[[#This Row],[Client]],Costing[],MATCH("EOFY Team 1",Costing[#Headers],0),0)</f>
        <v>Laurence</v>
      </c>
      <c r="D299" s="28">
        <f>VLOOKUP(Budgeted_Time[[#This Row],[Client]],Costing[],MATCH("Time Min 1",Costing[#Headers],0),0)</f>
        <v>120</v>
      </c>
    </row>
    <row r="300" spans="1:4" x14ac:dyDescent="0.2">
      <c r="A300" s="10" t="s">
        <v>275</v>
      </c>
      <c r="B300" s="10" t="s">
        <v>279</v>
      </c>
      <c r="C300" s="28" t="str">
        <f>VLOOKUP(Budgeted_Time[[#This Row],[Client]],Costing[],MATCH("EOFY Team 2",Costing[#Headers],0),0)</f>
        <v>Kathleen</v>
      </c>
      <c r="D300" s="28">
        <f>VLOOKUP(Budgeted_Time[[#This Row],[Client]],Costing[],MATCH("Time Min 2",Costing[#Headers],0),0)</f>
        <v>120</v>
      </c>
    </row>
    <row r="301" spans="1:4" x14ac:dyDescent="0.2">
      <c r="A301" s="10" t="s">
        <v>275</v>
      </c>
      <c r="B301" s="10" t="s">
        <v>294</v>
      </c>
      <c r="C301" s="28" t="str">
        <f>VLOOKUP(Budgeted_Time[[#This Row],[Client]],Costing[],MATCH("Onboarding Team",Costing[#Headers],0),0)</f>
        <v>Laurence</v>
      </c>
      <c r="D301" s="28">
        <f>VLOOKUP(Budgeted_Time[[#This Row],[Client]],Costing[],MATCH("Onboarding Minutes",Costing[#Headers],0),0)</f>
        <v>1701.7</v>
      </c>
    </row>
    <row r="302" spans="1:4" x14ac:dyDescent="0.2">
      <c r="A302" s="10" t="s">
        <v>32</v>
      </c>
      <c r="B302" s="10" t="s">
        <v>145</v>
      </c>
      <c r="C302" s="28" t="str">
        <f>VLOOKUP(Budgeted_Time[[#This Row],[Client]],Costing[],MATCH("Payroll Team",Costing[#Headers],0),0)</f>
        <v>Kathryn</v>
      </c>
      <c r="D302" s="28">
        <f>VLOOKUP(Budgeted_Time[[#This Row],[Client]],Costing[],MATCH("Minutes/Pay Run",Costing[#Headers],0),0)</f>
        <v>15</v>
      </c>
    </row>
    <row r="303" spans="1:4" x14ac:dyDescent="0.2">
      <c r="A303" s="10" t="s">
        <v>32</v>
      </c>
      <c r="B303" s="10" t="s">
        <v>176</v>
      </c>
      <c r="C303" s="28" t="str">
        <f>VLOOKUP(Budgeted_Time[[#This Row],[Client]],Costing[],MATCH("Super Team",Costing[#Headers],0),0)</f>
        <v>Kathryn</v>
      </c>
      <c r="D303" s="28">
        <f>VLOOKUP(Budgeted_Time[[#This Row],[Client]],Costing[],MATCH("Minutes/Super",Costing[#Headers],0),0)</f>
        <v>15</v>
      </c>
    </row>
    <row r="304" spans="1:4" x14ac:dyDescent="0.2">
      <c r="A304" s="10" t="s">
        <v>32</v>
      </c>
      <c r="B304" s="10" t="s">
        <v>177</v>
      </c>
      <c r="C304" s="28" t="str">
        <f>VLOOKUP(Budgeted_Time[[#This Row],[Client]],Costing[],MATCH("Bookkeeping Team",Costing[#Headers],0),0)</f>
        <v>Kathryn</v>
      </c>
      <c r="D304" s="28">
        <f>VLOOKUP(Budgeted_Time[[#This Row],[Client]],Costing[],MATCH("Minutes/Activity",Costing[#Headers],0),0)</f>
        <v>240</v>
      </c>
    </row>
    <row r="305" spans="1:4" x14ac:dyDescent="0.2">
      <c r="A305" s="10" t="s">
        <v>32</v>
      </c>
      <c r="B305" s="10" t="s">
        <v>178</v>
      </c>
      <c r="C305" s="28" t="str">
        <f>VLOOKUP(Budgeted_Time[[#This Row],[Client]],Costing[],MATCH("Reporting Team",Costing[#Headers],0),0)</f>
        <v>Laurence</v>
      </c>
      <c r="D305" s="28">
        <f>VLOOKUP(Budgeted_Time[[#This Row],[Client]],Costing[],MATCH("Minutes/Report",Costing[#Headers],0),0)</f>
        <v>20</v>
      </c>
    </row>
    <row r="306" spans="1:4" x14ac:dyDescent="0.2">
      <c r="A306" s="10" t="s">
        <v>32</v>
      </c>
      <c r="B306" s="10" t="s">
        <v>179</v>
      </c>
      <c r="C306" s="28" t="str">
        <f>VLOOKUP(Budgeted_Time[[#This Row],[Client]],Costing[],MATCH("BAS 1 Team",Costing[#Headers],0),0)</f>
        <v>Kathryn</v>
      </c>
      <c r="D306" s="28">
        <f>VLOOKUP(Budgeted_Time[[#This Row],[Client]],Costing[],MATCH("Minutes/BAS 1",Costing[#Headers],0),0)</f>
        <v>60</v>
      </c>
    </row>
    <row r="307" spans="1:4" x14ac:dyDescent="0.2">
      <c r="A307" s="10" t="s">
        <v>32</v>
      </c>
      <c r="B307" s="10" t="s">
        <v>180</v>
      </c>
      <c r="C307" s="28" t="str">
        <f>VLOOKUP(Budgeted_Time[[#This Row],[Client]],Costing[],MATCH("BAS 2 Team",Costing[#Headers],0),0)</f>
        <v>Rachel</v>
      </c>
      <c r="D307" s="28">
        <f>VLOOKUP(Budgeted_Time[[#This Row],[Client]],Costing[],MATCH("Minutes/BAS 2",Costing[#Headers],0),0)</f>
        <v>15</v>
      </c>
    </row>
    <row r="308" spans="1:4" x14ac:dyDescent="0.2">
      <c r="A308" s="10" t="s">
        <v>32</v>
      </c>
      <c r="B308" s="10" t="s">
        <v>181</v>
      </c>
      <c r="C308" s="28">
        <f>VLOOKUP(Budgeted_Time[[#This Row],[Client]],Costing[],MATCH("IAS Team",Costing[#Headers],0),0)</f>
        <v>0</v>
      </c>
      <c r="D308" s="28">
        <f>VLOOKUP(Budgeted_Time[[#This Row],[Client]],Costing[],MATCH("Minutes/IAS",Costing[#Headers],0),0)</f>
        <v>0</v>
      </c>
    </row>
    <row r="309" spans="1:4" x14ac:dyDescent="0.2">
      <c r="A309" s="10" t="s">
        <v>32</v>
      </c>
      <c r="B309" s="10" t="s">
        <v>261</v>
      </c>
      <c r="C309" s="28" t="str">
        <f>VLOOKUP(Budgeted_Time[[#This Row],[Client]],Costing[],MATCH("EOFY Team 1",Costing[#Headers],0),0)</f>
        <v>Laurence</v>
      </c>
      <c r="D309" s="28">
        <f>VLOOKUP(Budgeted_Time[[#This Row],[Client]],Costing[],MATCH("Time Min 1",Costing[#Headers],0),0)</f>
        <v>120</v>
      </c>
    </row>
    <row r="310" spans="1:4" x14ac:dyDescent="0.2">
      <c r="A310" s="10" t="s">
        <v>32</v>
      </c>
      <c r="B310" s="10" t="s">
        <v>279</v>
      </c>
      <c r="C310" s="28" t="str">
        <f>VLOOKUP(Budgeted_Time[[#This Row],[Client]],Costing[],MATCH("EOFY Team 2",Costing[#Headers],0),0)</f>
        <v>Kathryn</v>
      </c>
      <c r="D310" s="28">
        <f>VLOOKUP(Budgeted_Time[[#This Row],[Client]],Costing[],MATCH("Time Min 2",Costing[#Headers],0),0)</f>
        <v>120</v>
      </c>
    </row>
    <row r="311" spans="1:4" x14ac:dyDescent="0.2">
      <c r="A311" s="10" t="s">
        <v>32</v>
      </c>
      <c r="B311" s="10" t="s">
        <v>294</v>
      </c>
      <c r="C311" s="28" t="str">
        <f>VLOOKUP(Budgeted_Time[[#This Row],[Client]],Costing[],MATCH("Onboarding Team",Costing[#Headers],0),0)</f>
        <v>Laurence</v>
      </c>
      <c r="D311" s="28">
        <f>VLOOKUP(Budgeted_Time[[#This Row],[Client]],Costing[],MATCH("Onboarding Minutes",Costing[#Headers],0),0)</f>
        <v>1428</v>
      </c>
    </row>
    <row r="312" spans="1:4" x14ac:dyDescent="0.2">
      <c r="A312" s="10" t="s">
        <v>33</v>
      </c>
      <c r="B312" s="10" t="s">
        <v>145</v>
      </c>
      <c r="C312" s="28">
        <f>VLOOKUP(Budgeted_Time[[#This Row],[Client]],Costing[],MATCH("Payroll Team",Costing[#Headers],0),0)</f>
        <v>0</v>
      </c>
      <c r="D312" s="28">
        <f>VLOOKUP(Budgeted_Time[[#This Row],[Client]],Costing[],MATCH("Minutes/Pay Run",Costing[#Headers],0),0)</f>
        <v>0</v>
      </c>
    </row>
    <row r="313" spans="1:4" x14ac:dyDescent="0.2">
      <c r="A313" s="10" t="s">
        <v>33</v>
      </c>
      <c r="B313" s="10" t="s">
        <v>176</v>
      </c>
      <c r="C313" s="28">
        <f>VLOOKUP(Budgeted_Time[[#This Row],[Client]],Costing[],MATCH("Super Team",Costing[#Headers],0),0)</f>
        <v>0</v>
      </c>
      <c r="D313" s="28">
        <f>VLOOKUP(Budgeted_Time[[#This Row],[Client]],Costing[],MATCH("Minutes/Super",Costing[#Headers],0),0)</f>
        <v>0</v>
      </c>
    </row>
    <row r="314" spans="1:4" x14ac:dyDescent="0.2">
      <c r="A314" s="10" t="s">
        <v>33</v>
      </c>
      <c r="B314" s="10" t="s">
        <v>177</v>
      </c>
      <c r="C314" s="28" t="str">
        <f>VLOOKUP(Budgeted_Time[[#This Row],[Client]],Costing[],MATCH("Bookkeeping Team",Costing[#Headers],0),0)</f>
        <v>Joanna</v>
      </c>
      <c r="D314" s="28">
        <f>VLOOKUP(Budgeted_Time[[#This Row],[Client]],Costing[],MATCH("Minutes/Activity",Costing[#Headers],0),0)</f>
        <v>45</v>
      </c>
    </row>
    <row r="315" spans="1:4" x14ac:dyDescent="0.2">
      <c r="A315" s="10" t="s">
        <v>33</v>
      </c>
      <c r="B315" s="10" t="s">
        <v>178</v>
      </c>
      <c r="C315" s="28">
        <f>VLOOKUP(Budgeted_Time[[#This Row],[Client]],Costing[],MATCH("Reporting Team",Costing[#Headers],0),0)</f>
        <v>0</v>
      </c>
      <c r="D315" s="28">
        <f>VLOOKUP(Budgeted_Time[[#This Row],[Client]],Costing[],MATCH("Minutes/Report",Costing[#Headers],0),0)</f>
        <v>0</v>
      </c>
    </row>
    <row r="316" spans="1:4" x14ac:dyDescent="0.2">
      <c r="A316" s="10" t="s">
        <v>33</v>
      </c>
      <c r="B316" s="10" t="s">
        <v>179</v>
      </c>
      <c r="C316" s="28">
        <f>VLOOKUP(Budgeted_Time[[#This Row],[Client]],Costing[],MATCH("BAS 1 Team",Costing[#Headers],0),0)</f>
        <v>0</v>
      </c>
      <c r="D316" s="28">
        <f>VLOOKUP(Budgeted_Time[[#This Row],[Client]],Costing[],MATCH("Minutes/BAS 1",Costing[#Headers],0),0)</f>
        <v>0</v>
      </c>
    </row>
    <row r="317" spans="1:4" x14ac:dyDescent="0.2">
      <c r="A317" s="10" t="s">
        <v>33</v>
      </c>
      <c r="B317" s="10" t="s">
        <v>180</v>
      </c>
      <c r="C317" s="28">
        <f>VLOOKUP(Budgeted_Time[[#This Row],[Client]],Costing[],MATCH("BAS 2 Team",Costing[#Headers],0),0)</f>
        <v>0</v>
      </c>
      <c r="D317" s="28">
        <f>VLOOKUP(Budgeted_Time[[#This Row],[Client]],Costing[],MATCH("Minutes/BAS 2",Costing[#Headers],0),0)</f>
        <v>0</v>
      </c>
    </row>
    <row r="318" spans="1:4" x14ac:dyDescent="0.2">
      <c r="A318" s="10" t="s">
        <v>33</v>
      </c>
      <c r="B318" s="10" t="s">
        <v>181</v>
      </c>
      <c r="C318" s="28">
        <f>VLOOKUP(Budgeted_Time[[#This Row],[Client]],Costing[],MATCH("IAS Team",Costing[#Headers],0),0)</f>
        <v>0</v>
      </c>
      <c r="D318" s="28">
        <f>VLOOKUP(Budgeted_Time[[#This Row],[Client]],Costing[],MATCH("Minutes/IAS",Costing[#Headers],0),0)</f>
        <v>0</v>
      </c>
    </row>
    <row r="319" spans="1:4" x14ac:dyDescent="0.2">
      <c r="A319" s="10" t="s">
        <v>33</v>
      </c>
      <c r="B319" s="10" t="s">
        <v>261</v>
      </c>
      <c r="C319" s="28">
        <f>VLOOKUP(Budgeted_Time[[#This Row],[Client]],Costing[],MATCH("EOFY Team 1",Costing[#Headers],0),0)</f>
        <v>0</v>
      </c>
      <c r="D319" s="28">
        <f>VLOOKUP(Budgeted_Time[[#This Row],[Client]],Costing[],MATCH("Time Min 1",Costing[#Headers],0),0)</f>
        <v>0</v>
      </c>
    </row>
    <row r="320" spans="1:4" x14ac:dyDescent="0.2">
      <c r="A320" s="10" t="s">
        <v>33</v>
      </c>
      <c r="B320" s="10" t="s">
        <v>279</v>
      </c>
      <c r="C320" s="28">
        <f>VLOOKUP(Budgeted_Time[[#This Row],[Client]],Costing[],MATCH("EOFY Team 2",Costing[#Headers],0),0)</f>
        <v>0</v>
      </c>
      <c r="D320" s="28">
        <f>VLOOKUP(Budgeted_Time[[#This Row],[Client]],Costing[],MATCH("Time Min 2",Costing[#Headers],0),0)</f>
        <v>0</v>
      </c>
    </row>
    <row r="321" spans="1:4" x14ac:dyDescent="0.2">
      <c r="A321" s="10" t="s">
        <v>33</v>
      </c>
      <c r="B321" s="10" t="s">
        <v>294</v>
      </c>
      <c r="C321" s="28" t="str">
        <f>VLOOKUP(Budgeted_Time[[#This Row],[Client]],Costing[],MATCH("Onboarding Team",Costing[#Headers],0),0)</f>
        <v>Kim</v>
      </c>
      <c r="D321" s="28">
        <f>VLOOKUP(Budgeted_Time[[#This Row],[Client]],Costing[],MATCH("Onboarding Minutes",Costing[#Headers],0),0)</f>
        <v>267.75</v>
      </c>
    </row>
    <row r="322" spans="1:4" x14ac:dyDescent="0.2">
      <c r="A322" s="10" t="s">
        <v>56</v>
      </c>
      <c r="B322" s="10" t="s">
        <v>145</v>
      </c>
      <c r="C322" s="28">
        <f>VLOOKUP(Budgeted_Time[[#This Row],[Client]],Costing[],MATCH("Payroll Team",Costing[#Headers],0),0)</f>
        <v>0</v>
      </c>
      <c r="D322" s="28">
        <f>VLOOKUP(Budgeted_Time[[#This Row],[Client]],Costing[],MATCH("Minutes/Pay Run",Costing[#Headers],0),0)</f>
        <v>0</v>
      </c>
    </row>
    <row r="323" spans="1:4" x14ac:dyDescent="0.2">
      <c r="A323" s="10" t="s">
        <v>56</v>
      </c>
      <c r="B323" s="10" t="s">
        <v>176</v>
      </c>
      <c r="C323" s="28">
        <f>VLOOKUP(Budgeted_Time[[#This Row],[Client]],Costing[],MATCH("Super Team",Costing[#Headers],0),0)</f>
        <v>0</v>
      </c>
      <c r="D323" s="28">
        <f>VLOOKUP(Budgeted_Time[[#This Row],[Client]],Costing[],MATCH("Minutes/Super",Costing[#Headers],0),0)</f>
        <v>0</v>
      </c>
    </row>
    <row r="324" spans="1:4" x14ac:dyDescent="0.2">
      <c r="A324" s="10" t="s">
        <v>56</v>
      </c>
      <c r="B324" s="10" t="s">
        <v>177</v>
      </c>
      <c r="C324" s="28" t="str">
        <f>VLOOKUP(Budgeted_Time[[#This Row],[Client]],Costing[],MATCH("Bookkeeping Team",Costing[#Headers],0),0)</f>
        <v>Joanna</v>
      </c>
      <c r="D324" s="28">
        <f>VLOOKUP(Budgeted_Time[[#This Row],[Client]],Costing[],MATCH("Minutes/Activity",Costing[#Headers],0),0)</f>
        <v>120</v>
      </c>
    </row>
    <row r="325" spans="1:4" x14ac:dyDescent="0.2">
      <c r="A325" s="10" t="s">
        <v>56</v>
      </c>
      <c r="B325" s="10" t="s">
        <v>178</v>
      </c>
      <c r="C325" s="28" t="str">
        <f>VLOOKUP(Budgeted_Time[[#This Row],[Client]],Costing[],MATCH("Reporting Team",Costing[#Headers],0),0)</f>
        <v>Kim</v>
      </c>
      <c r="D325" s="28">
        <f>VLOOKUP(Budgeted_Time[[#This Row],[Client]],Costing[],MATCH("Minutes/Report",Costing[#Headers],0),0)</f>
        <v>30</v>
      </c>
    </row>
    <row r="326" spans="1:4" x14ac:dyDescent="0.2">
      <c r="A326" s="10" t="s">
        <v>56</v>
      </c>
      <c r="B326" s="10" t="s">
        <v>179</v>
      </c>
      <c r="C326" s="28">
        <f>VLOOKUP(Budgeted_Time[[#This Row],[Client]],Costing[],MATCH("BAS 1 Team",Costing[#Headers],0),0)</f>
        <v>0</v>
      </c>
      <c r="D326" s="28">
        <f>VLOOKUP(Budgeted_Time[[#This Row],[Client]],Costing[],MATCH("Minutes/BAS 1",Costing[#Headers],0),0)</f>
        <v>0</v>
      </c>
    </row>
    <row r="327" spans="1:4" x14ac:dyDescent="0.2">
      <c r="A327" s="10" t="s">
        <v>56</v>
      </c>
      <c r="B327" s="10" t="s">
        <v>180</v>
      </c>
      <c r="C327" s="28">
        <f>VLOOKUP(Budgeted_Time[[#This Row],[Client]],Costing[],MATCH("BAS 2 Team",Costing[#Headers],0),0)</f>
        <v>0</v>
      </c>
      <c r="D327" s="28">
        <f>VLOOKUP(Budgeted_Time[[#This Row],[Client]],Costing[],MATCH("Minutes/BAS 2",Costing[#Headers],0),0)</f>
        <v>0</v>
      </c>
    </row>
    <row r="328" spans="1:4" x14ac:dyDescent="0.2">
      <c r="A328" s="10" t="s">
        <v>56</v>
      </c>
      <c r="B328" s="10" t="s">
        <v>181</v>
      </c>
      <c r="C328" s="28">
        <f>VLOOKUP(Budgeted_Time[[#This Row],[Client]],Costing[],MATCH("IAS Team",Costing[#Headers],0),0)</f>
        <v>0</v>
      </c>
      <c r="D328" s="28">
        <f>VLOOKUP(Budgeted_Time[[#This Row],[Client]],Costing[],MATCH("Minutes/IAS",Costing[#Headers],0),0)</f>
        <v>0</v>
      </c>
    </row>
    <row r="329" spans="1:4" x14ac:dyDescent="0.2">
      <c r="A329" s="10" t="s">
        <v>56</v>
      </c>
      <c r="B329" s="10" t="s">
        <v>261</v>
      </c>
      <c r="C329" s="28" t="str">
        <f>VLOOKUP(Budgeted_Time[[#This Row],[Client]],Costing[],MATCH("EOFY Team 1",Costing[#Headers],0),0)</f>
        <v>Joanna</v>
      </c>
      <c r="D329" s="28">
        <f>VLOOKUP(Budgeted_Time[[#This Row],[Client]],Costing[],MATCH("Time Min 1",Costing[#Headers],0),0)</f>
        <v>60</v>
      </c>
    </row>
    <row r="330" spans="1:4" x14ac:dyDescent="0.2">
      <c r="A330" s="10" t="s">
        <v>56</v>
      </c>
      <c r="B330" s="10" t="s">
        <v>279</v>
      </c>
      <c r="C330" s="28" t="str">
        <f>VLOOKUP(Budgeted_Time[[#This Row],[Client]],Costing[],MATCH("EOFY Team 2",Costing[#Headers],0),0)</f>
        <v>Kim</v>
      </c>
      <c r="D330" s="28">
        <f>VLOOKUP(Budgeted_Time[[#This Row],[Client]],Costing[],MATCH("Time Min 2",Costing[#Headers],0),0)</f>
        <v>120</v>
      </c>
    </row>
    <row r="331" spans="1:4" x14ac:dyDescent="0.2">
      <c r="A331" s="10" t="s">
        <v>56</v>
      </c>
      <c r="B331" s="10" t="s">
        <v>294</v>
      </c>
      <c r="C331" s="28" t="str">
        <f>VLOOKUP(Budgeted_Time[[#This Row],[Client]],Costing[],MATCH("Onboarding Team",Costing[#Headers],0),0)</f>
        <v>Kim</v>
      </c>
      <c r="D331" s="28">
        <f>VLOOKUP(Budgeted_Time[[#This Row],[Client]],Costing[],MATCH("Onboarding Minutes",Costing[#Headers],0),0)</f>
        <v>714</v>
      </c>
    </row>
    <row r="332" spans="1:4" x14ac:dyDescent="0.2">
      <c r="A332" s="10" t="s">
        <v>34</v>
      </c>
      <c r="B332" s="10" t="s">
        <v>145</v>
      </c>
      <c r="C332" s="28" t="str">
        <f>VLOOKUP(Budgeted_Time[[#This Row],[Client]],Costing[],MATCH("Payroll Team",Costing[#Headers],0),0)</f>
        <v>Kathleen</v>
      </c>
      <c r="D332" s="28">
        <f>VLOOKUP(Budgeted_Time[[#This Row],[Client]],Costing[],MATCH("Minutes/Pay Run",Costing[#Headers],0),0)</f>
        <v>90</v>
      </c>
    </row>
    <row r="333" spans="1:4" x14ac:dyDescent="0.2">
      <c r="A333" s="10" t="s">
        <v>34</v>
      </c>
      <c r="B333" s="10" t="s">
        <v>176</v>
      </c>
      <c r="C333" s="28" t="str">
        <f>VLOOKUP(Budgeted_Time[[#This Row],[Client]],Costing[],MATCH("Super Team",Costing[#Headers],0),0)</f>
        <v>Kathleen</v>
      </c>
      <c r="D333" s="28">
        <f>VLOOKUP(Budgeted_Time[[#This Row],[Client]],Costing[],MATCH("Minutes/Super",Costing[#Headers],0),0)</f>
        <v>15</v>
      </c>
    </row>
    <row r="334" spans="1:4" x14ac:dyDescent="0.2">
      <c r="A334" s="10" t="s">
        <v>34</v>
      </c>
      <c r="B334" s="10" t="s">
        <v>177</v>
      </c>
      <c r="C334" s="28" t="str">
        <f>VLOOKUP(Budgeted_Time[[#This Row],[Client]],Costing[],MATCH("Bookkeeping Team",Costing[#Headers],0),0)</f>
        <v>Kathleen</v>
      </c>
      <c r="D334" s="28">
        <f>VLOOKUP(Budgeted_Time[[#This Row],[Client]],Costing[],MATCH("Minutes/Activity",Costing[#Headers],0),0)</f>
        <v>1650</v>
      </c>
    </row>
    <row r="335" spans="1:4" x14ac:dyDescent="0.2">
      <c r="A335" s="10" t="s">
        <v>34</v>
      </c>
      <c r="B335" s="10" t="s">
        <v>178</v>
      </c>
      <c r="C335" s="28" t="str">
        <f>VLOOKUP(Budgeted_Time[[#This Row],[Client]],Costing[],MATCH("Reporting Team",Costing[#Headers],0),0)</f>
        <v>Kim</v>
      </c>
      <c r="D335" s="28">
        <f>VLOOKUP(Budgeted_Time[[#This Row],[Client]],Costing[],MATCH("Minutes/Report",Costing[#Headers],0),0)</f>
        <v>670</v>
      </c>
    </row>
    <row r="336" spans="1:4" x14ac:dyDescent="0.2">
      <c r="A336" s="10" t="s">
        <v>34</v>
      </c>
      <c r="B336" s="10" t="s">
        <v>179</v>
      </c>
      <c r="C336" s="28" t="str">
        <f>VLOOKUP(Budgeted_Time[[#This Row],[Client]],Costing[],MATCH("BAS 1 Team",Costing[#Headers],0),0)</f>
        <v>Kathleen</v>
      </c>
      <c r="D336" s="28">
        <f>VLOOKUP(Budgeted_Time[[#This Row],[Client]],Costing[],MATCH("Minutes/BAS 1",Costing[#Headers],0),0)</f>
        <v>60</v>
      </c>
    </row>
    <row r="337" spans="1:4" x14ac:dyDescent="0.2">
      <c r="A337" s="10" t="s">
        <v>34</v>
      </c>
      <c r="B337" s="10" t="s">
        <v>180</v>
      </c>
      <c r="C337" s="28" t="str">
        <f>VLOOKUP(Budgeted_Time[[#This Row],[Client]],Costing[],MATCH("BAS 2 Team",Costing[#Headers],0),0)</f>
        <v>Rachel</v>
      </c>
      <c r="D337" s="28">
        <f>VLOOKUP(Budgeted_Time[[#This Row],[Client]],Costing[],MATCH("Minutes/BAS 2",Costing[#Headers],0),0)</f>
        <v>15</v>
      </c>
    </row>
    <row r="338" spans="1:4" x14ac:dyDescent="0.2">
      <c r="A338" s="10" t="s">
        <v>34</v>
      </c>
      <c r="B338" s="10" t="s">
        <v>181</v>
      </c>
      <c r="C338" s="28" t="str">
        <f>VLOOKUP(Budgeted_Time[[#This Row],[Client]],Costing[],MATCH("IAS Team",Costing[#Headers],0),0)</f>
        <v>Rachel</v>
      </c>
      <c r="D338" s="28">
        <f>VLOOKUP(Budgeted_Time[[#This Row],[Client]],Costing[],MATCH("Minutes/IAS",Costing[#Headers],0),0)</f>
        <v>30</v>
      </c>
    </row>
    <row r="339" spans="1:4" x14ac:dyDescent="0.2">
      <c r="A339" s="10" t="s">
        <v>34</v>
      </c>
      <c r="B339" s="10" t="s">
        <v>261</v>
      </c>
      <c r="C339" s="28" t="str">
        <f>VLOOKUP(Budgeted_Time[[#This Row],[Client]],Costing[],MATCH("EOFY Team 1",Costing[#Headers],0),0)</f>
        <v>Kim</v>
      </c>
      <c r="D339" s="28">
        <f>VLOOKUP(Budgeted_Time[[#This Row],[Client]],Costing[],MATCH("Time Min 1",Costing[#Headers],0),0)</f>
        <v>180</v>
      </c>
    </row>
    <row r="340" spans="1:4" x14ac:dyDescent="0.2">
      <c r="A340" s="10" t="s">
        <v>34</v>
      </c>
      <c r="B340" s="10" t="s">
        <v>279</v>
      </c>
      <c r="C340" s="28" t="str">
        <f>VLOOKUP(Budgeted_Time[[#This Row],[Client]],Costing[],MATCH("EOFY Team 2",Costing[#Headers],0),0)</f>
        <v>Kathleen</v>
      </c>
      <c r="D340" s="28">
        <f>VLOOKUP(Budgeted_Time[[#This Row],[Client]],Costing[],MATCH("Time Min 2",Costing[#Headers],0),0)</f>
        <v>120</v>
      </c>
    </row>
    <row r="341" spans="1:4" x14ac:dyDescent="0.2">
      <c r="A341" s="10" t="s">
        <v>34</v>
      </c>
      <c r="B341" s="10" t="s">
        <v>294</v>
      </c>
      <c r="C341" s="28" t="str">
        <f>VLOOKUP(Budgeted_Time[[#This Row],[Client]],Costing[],MATCH("Onboarding Team",Costing[#Headers],0),0)</f>
        <v>Kim</v>
      </c>
      <c r="D341" s="28">
        <f>VLOOKUP(Budgeted_Time[[#This Row],[Client]],Costing[],MATCH("Onboarding Minutes",Costing[#Headers],0),0)</f>
        <v>9817.5</v>
      </c>
    </row>
    <row r="342" spans="1:4" x14ac:dyDescent="0.2">
      <c r="A342" s="10" t="s">
        <v>35</v>
      </c>
      <c r="B342" s="10" t="s">
        <v>145</v>
      </c>
      <c r="C342" s="28" t="str">
        <f>VLOOKUP(Budgeted_Time[[#This Row],[Client]],Costing[],MATCH("Payroll Team",Costing[#Headers],0),0)</f>
        <v>Kathryn</v>
      </c>
      <c r="D342" s="28">
        <f>VLOOKUP(Budgeted_Time[[#This Row],[Client]],Costing[],MATCH("Minutes/Pay Run",Costing[#Headers],0),0)</f>
        <v>10</v>
      </c>
    </row>
    <row r="343" spans="1:4" x14ac:dyDescent="0.2">
      <c r="A343" s="10" t="s">
        <v>35</v>
      </c>
      <c r="B343" s="10" t="s">
        <v>176</v>
      </c>
      <c r="C343" s="28" t="str">
        <f>VLOOKUP(Budgeted_Time[[#This Row],[Client]],Costing[],MATCH("Super Team",Costing[#Headers],0),0)</f>
        <v>Kathryn</v>
      </c>
      <c r="D343" s="28">
        <f>VLOOKUP(Budgeted_Time[[#This Row],[Client]],Costing[],MATCH("Minutes/Super",Costing[#Headers],0),0)</f>
        <v>15</v>
      </c>
    </row>
    <row r="344" spans="1:4" x14ac:dyDescent="0.2">
      <c r="A344" s="10" t="s">
        <v>35</v>
      </c>
      <c r="B344" s="10" t="s">
        <v>177</v>
      </c>
      <c r="C344" s="28" t="str">
        <f>VLOOKUP(Budgeted_Time[[#This Row],[Client]],Costing[],MATCH("Bookkeeping Team",Costing[#Headers],0),0)</f>
        <v>Kathryn</v>
      </c>
      <c r="D344" s="28">
        <f>VLOOKUP(Budgeted_Time[[#This Row],[Client]],Costing[],MATCH("Minutes/Activity",Costing[#Headers],0),0)</f>
        <v>90</v>
      </c>
    </row>
    <row r="345" spans="1:4" x14ac:dyDescent="0.2">
      <c r="A345" s="10" t="s">
        <v>35</v>
      </c>
      <c r="B345" s="10" t="s">
        <v>178</v>
      </c>
      <c r="C345" s="28" t="str">
        <f>VLOOKUP(Budgeted_Time[[#This Row],[Client]],Costing[],MATCH("Reporting Team",Costing[#Headers],0),0)</f>
        <v>Kim</v>
      </c>
      <c r="D345" s="28">
        <f>VLOOKUP(Budgeted_Time[[#This Row],[Client]],Costing[],MATCH("Minutes/Report",Costing[#Headers],0),0)</f>
        <v>15</v>
      </c>
    </row>
    <row r="346" spans="1:4" x14ac:dyDescent="0.2">
      <c r="A346" s="10" t="s">
        <v>35</v>
      </c>
      <c r="B346" s="10" t="s">
        <v>179</v>
      </c>
      <c r="C346" s="28" t="str">
        <f>VLOOKUP(Budgeted_Time[[#This Row],[Client]],Costing[],MATCH("BAS 1 Team",Costing[#Headers],0),0)</f>
        <v>Joanna</v>
      </c>
      <c r="D346" s="28">
        <f>VLOOKUP(Budgeted_Time[[#This Row],[Client]],Costing[],MATCH("Minutes/BAS 1",Costing[#Headers],0),0)</f>
        <v>60</v>
      </c>
    </row>
    <row r="347" spans="1:4" x14ac:dyDescent="0.2">
      <c r="A347" s="10" t="s">
        <v>35</v>
      </c>
      <c r="B347" s="10" t="s">
        <v>180</v>
      </c>
      <c r="C347" s="28" t="str">
        <f>VLOOKUP(Budgeted_Time[[#This Row],[Client]],Costing[],MATCH("BAS 2 Team",Costing[#Headers],0),0)</f>
        <v>Rachel</v>
      </c>
      <c r="D347" s="28">
        <f>VLOOKUP(Budgeted_Time[[#This Row],[Client]],Costing[],MATCH("Minutes/BAS 2",Costing[#Headers],0),0)</f>
        <v>15</v>
      </c>
    </row>
    <row r="348" spans="1:4" x14ac:dyDescent="0.2">
      <c r="A348" s="10" t="s">
        <v>35</v>
      </c>
      <c r="B348" s="10" t="s">
        <v>181</v>
      </c>
      <c r="C348" s="28">
        <f>VLOOKUP(Budgeted_Time[[#This Row],[Client]],Costing[],MATCH("IAS Team",Costing[#Headers],0),0)</f>
        <v>0</v>
      </c>
      <c r="D348" s="28">
        <f>VLOOKUP(Budgeted_Time[[#This Row],[Client]],Costing[],MATCH("Minutes/IAS",Costing[#Headers],0),0)</f>
        <v>0</v>
      </c>
    </row>
    <row r="349" spans="1:4" x14ac:dyDescent="0.2">
      <c r="A349" s="10" t="s">
        <v>35</v>
      </c>
      <c r="B349" s="10" t="s">
        <v>261</v>
      </c>
      <c r="C349" s="28" t="str">
        <f>VLOOKUP(Budgeted_Time[[#This Row],[Client]],Costing[],MATCH("EOFY Team 1",Costing[#Headers],0),0)</f>
        <v>Kim</v>
      </c>
      <c r="D349" s="28">
        <f>VLOOKUP(Budgeted_Time[[#This Row],[Client]],Costing[],MATCH("Time Min 1",Costing[#Headers],0),0)</f>
        <v>60</v>
      </c>
    </row>
    <row r="350" spans="1:4" x14ac:dyDescent="0.2">
      <c r="A350" s="10" t="s">
        <v>35</v>
      </c>
      <c r="B350" s="10" t="s">
        <v>279</v>
      </c>
      <c r="C350" s="28" t="str">
        <f>VLOOKUP(Budgeted_Time[[#This Row],[Client]],Costing[],MATCH("EOFY Team 2",Costing[#Headers],0),0)</f>
        <v>Kathryn</v>
      </c>
      <c r="D350" s="28">
        <f>VLOOKUP(Budgeted_Time[[#This Row],[Client]],Costing[],MATCH("Time Min 2",Costing[#Headers],0),0)</f>
        <v>60</v>
      </c>
    </row>
    <row r="351" spans="1:4" x14ac:dyDescent="0.2">
      <c r="A351" s="10" t="s">
        <v>35</v>
      </c>
      <c r="B351" s="10" t="s">
        <v>294</v>
      </c>
      <c r="C351" s="28" t="str">
        <f>VLOOKUP(Budgeted_Time[[#This Row],[Client]],Costing[],MATCH("Onboarding Team",Costing[#Headers],0),0)</f>
        <v>Kim</v>
      </c>
      <c r="D351" s="28">
        <f>VLOOKUP(Budgeted_Time[[#This Row],[Client]],Costing[],MATCH("Onboarding Minutes",Costing[#Headers],0),0)</f>
        <v>535.5</v>
      </c>
    </row>
    <row r="352" spans="1:4" x14ac:dyDescent="0.2">
      <c r="A352" s="10" t="s">
        <v>36</v>
      </c>
      <c r="B352" s="10" t="s">
        <v>145</v>
      </c>
      <c r="C352" s="28" t="str">
        <f>VLOOKUP(Budgeted_Time[[#This Row],[Client]],Costing[],MATCH("Payroll Team",Costing[#Headers],0),0)</f>
        <v>Joanna</v>
      </c>
      <c r="D352" s="28">
        <f>VLOOKUP(Budgeted_Time[[#This Row],[Client]],Costing[],MATCH("Minutes/Pay Run",Costing[#Headers],0),0)</f>
        <v>20</v>
      </c>
    </row>
    <row r="353" spans="1:4" x14ac:dyDescent="0.2">
      <c r="A353" s="10" t="s">
        <v>36</v>
      </c>
      <c r="B353" s="10" t="s">
        <v>176</v>
      </c>
      <c r="C353" s="28" t="str">
        <f>VLOOKUP(Budgeted_Time[[#This Row],[Client]],Costing[],MATCH("Super Team",Costing[#Headers],0),0)</f>
        <v>Joanna</v>
      </c>
      <c r="D353" s="28">
        <f>VLOOKUP(Budgeted_Time[[#This Row],[Client]],Costing[],MATCH("Minutes/Super",Costing[#Headers],0),0)</f>
        <v>15</v>
      </c>
    </row>
    <row r="354" spans="1:4" x14ac:dyDescent="0.2">
      <c r="A354" s="10" t="s">
        <v>36</v>
      </c>
      <c r="B354" s="10" t="s">
        <v>177</v>
      </c>
      <c r="C354" s="28" t="str">
        <f>VLOOKUP(Budgeted_Time[[#This Row],[Client]],Costing[],MATCH("Bookkeeping Team",Costing[#Headers],0),0)</f>
        <v>Joanna</v>
      </c>
      <c r="D354" s="28">
        <f>VLOOKUP(Budgeted_Time[[#This Row],[Client]],Costing[],MATCH("Minutes/Activity",Costing[#Headers],0),0)</f>
        <v>300</v>
      </c>
    </row>
    <row r="355" spans="1:4" x14ac:dyDescent="0.2">
      <c r="A355" s="10" t="s">
        <v>36</v>
      </c>
      <c r="B355" s="10" t="s">
        <v>178</v>
      </c>
      <c r="C355" s="28" t="str">
        <f>VLOOKUP(Budgeted_Time[[#This Row],[Client]],Costing[],MATCH("Reporting Team",Costing[#Headers],0),0)</f>
        <v>Laurence</v>
      </c>
      <c r="D355" s="28">
        <f>VLOOKUP(Budgeted_Time[[#This Row],[Client]],Costing[],MATCH("Minutes/Report",Costing[#Headers],0),0)</f>
        <v>15</v>
      </c>
    </row>
    <row r="356" spans="1:4" x14ac:dyDescent="0.2">
      <c r="A356" s="10" t="s">
        <v>36</v>
      </c>
      <c r="B356" s="10" t="s">
        <v>179</v>
      </c>
      <c r="C356" s="28" t="str">
        <f>VLOOKUP(Budgeted_Time[[#This Row],[Client]],Costing[],MATCH("BAS 1 Team",Costing[#Headers],0),0)</f>
        <v>Joanna</v>
      </c>
      <c r="D356" s="28">
        <f>VLOOKUP(Budgeted_Time[[#This Row],[Client]],Costing[],MATCH("Minutes/BAS 1",Costing[#Headers],0),0)</f>
        <v>60</v>
      </c>
    </row>
    <row r="357" spans="1:4" x14ac:dyDescent="0.2">
      <c r="A357" s="10" t="s">
        <v>36</v>
      </c>
      <c r="B357" s="10" t="s">
        <v>180</v>
      </c>
      <c r="C357" s="28" t="str">
        <f>VLOOKUP(Budgeted_Time[[#This Row],[Client]],Costing[],MATCH("BAS 2 Team",Costing[#Headers],0),0)</f>
        <v>Rachel</v>
      </c>
      <c r="D357" s="28">
        <f>VLOOKUP(Budgeted_Time[[#This Row],[Client]],Costing[],MATCH("Minutes/BAS 2",Costing[#Headers],0),0)</f>
        <v>15</v>
      </c>
    </row>
    <row r="358" spans="1:4" x14ac:dyDescent="0.2">
      <c r="A358" s="10" t="s">
        <v>36</v>
      </c>
      <c r="B358" s="10" t="s">
        <v>181</v>
      </c>
      <c r="C358" s="28">
        <f>VLOOKUP(Budgeted_Time[[#This Row],[Client]],Costing[],MATCH("IAS Team",Costing[#Headers],0),0)</f>
        <v>0</v>
      </c>
      <c r="D358" s="28">
        <f>VLOOKUP(Budgeted_Time[[#This Row],[Client]],Costing[],MATCH("Minutes/IAS",Costing[#Headers],0),0)</f>
        <v>0</v>
      </c>
    </row>
    <row r="359" spans="1:4" x14ac:dyDescent="0.2">
      <c r="A359" s="10" t="s">
        <v>36</v>
      </c>
      <c r="B359" s="10" t="s">
        <v>261</v>
      </c>
      <c r="C359" s="28" t="str">
        <f>VLOOKUP(Budgeted_Time[[#This Row],[Client]],Costing[],MATCH("EOFY Team 1",Costing[#Headers],0),0)</f>
        <v>Joanna</v>
      </c>
      <c r="D359" s="28">
        <f>VLOOKUP(Budgeted_Time[[#This Row],[Client]],Costing[],MATCH("Time Min 1",Costing[#Headers],0),0)</f>
        <v>120</v>
      </c>
    </row>
    <row r="360" spans="1:4" x14ac:dyDescent="0.2">
      <c r="A360" s="10" t="s">
        <v>36</v>
      </c>
      <c r="B360" s="10" t="s">
        <v>279</v>
      </c>
      <c r="C360" s="28" t="str">
        <f>VLOOKUP(Budgeted_Time[[#This Row],[Client]],Costing[],MATCH("EOFY Team 2",Costing[#Headers],0),0)</f>
        <v>Rachel</v>
      </c>
      <c r="D360" s="28">
        <f>VLOOKUP(Budgeted_Time[[#This Row],[Client]],Costing[],MATCH("Time Min 2",Costing[#Headers],0),0)</f>
        <v>120</v>
      </c>
    </row>
    <row r="361" spans="1:4" x14ac:dyDescent="0.2">
      <c r="A361" s="10" t="s">
        <v>36</v>
      </c>
      <c r="B361" s="10" t="s">
        <v>294</v>
      </c>
      <c r="C361" s="28" t="str">
        <f>VLOOKUP(Budgeted_Time[[#This Row],[Client]],Costing[],MATCH("Onboarding Team",Costing[#Headers],0),0)</f>
        <v>Laurence</v>
      </c>
      <c r="D361" s="28">
        <f>VLOOKUP(Budgeted_Time[[#This Row],[Client]],Costing[],MATCH("Onboarding Minutes",Costing[#Headers],0),0)</f>
        <v>1785</v>
      </c>
    </row>
    <row r="362" spans="1:4" x14ac:dyDescent="0.2">
      <c r="A362" s="10" t="s">
        <v>38</v>
      </c>
      <c r="B362" s="10" t="s">
        <v>145</v>
      </c>
      <c r="C362" s="28">
        <f>VLOOKUP(Budgeted_Time[[#This Row],[Client]],Costing[],MATCH("Payroll Team",Costing[#Headers],0),0)</f>
        <v>0</v>
      </c>
      <c r="D362" s="28">
        <f>VLOOKUP(Budgeted_Time[[#This Row],[Client]],Costing[],MATCH("Minutes/Pay Run",Costing[#Headers],0),0)</f>
        <v>0</v>
      </c>
    </row>
    <row r="363" spans="1:4" x14ac:dyDescent="0.2">
      <c r="A363" s="10" t="s">
        <v>38</v>
      </c>
      <c r="B363" s="10" t="s">
        <v>176</v>
      </c>
      <c r="C363" s="28">
        <f>VLOOKUP(Budgeted_Time[[#This Row],[Client]],Costing[],MATCH("Super Team",Costing[#Headers],0),0)</f>
        <v>0</v>
      </c>
      <c r="D363" s="28">
        <f>VLOOKUP(Budgeted_Time[[#This Row],[Client]],Costing[],MATCH("Minutes/Super",Costing[#Headers],0),0)</f>
        <v>0</v>
      </c>
    </row>
    <row r="364" spans="1:4" x14ac:dyDescent="0.2">
      <c r="A364" s="10" t="s">
        <v>38</v>
      </c>
      <c r="B364" s="10" t="s">
        <v>177</v>
      </c>
      <c r="C364" s="28" t="str">
        <f>VLOOKUP(Budgeted_Time[[#This Row],[Client]],Costing[],MATCH("Bookkeeping Team",Costing[#Headers],0),0)</f>
        <v>Kathleen</v>
      </c>
      <c r="D364" s="28">
        <f>VLOOKUP(Budgeted_Time[[#This Row],[Client]],Costing[],MATCH("Minutes/Activity",Costing[#Headers],0),0)</f>
        <v>29</v>
      </c>
    </row>
    <row r="365" spans="1:4" x14ac:dyDescent="0.2">
      <c r="A365" s="10" t="s">
        <v>38</v>
      </c>
      <c r="B365" s="10" t="s">
        <v>178</v>
      </c>
      <c r="C365" s="28">
        <f>VLOOKUP(Budgeted_Time[[#This Row],[Client]],Costing[],MATCH("Reporting Team",Costing[#Headers],0),0)</f>
        <v>0</v>
      </c>
      <c r="D365" s="28">
        <f>VLOOKUP(Budgeted_Time[[#This Row],[Client]],Costing[],MATCH("Minutes/Report",Costing[#Headers],0),0)</f>
        <v>0</v>
      </c>
    </row>
    <row r="366" spans="1:4" x14ac:dyDescent="0.2">
      <c r="A366" s="10" t="s">
        <v>38</v>
      </c>
      <c r="B366" s="10" t="s">
        <v>179</v>
      </c>
      <c r="C366" s="28" t="str">
        <f>VLOOKUP(Budgeted_Time[[#This Row],[Client]],Costing[],MATCH("BAS 1 Team",Costing[#Headers],0),0)</f>
        <v>Kathleen</v>
      </c>
      <c r="D366" s="28">
        <f>VLOOKUP(Budgeted_Time[[#This Row],[Client]],Costing[],MATCH("Minutes/BAS 1",Costing[#Headers],0),0)</f>
        <v>60</v>
      </c>
    </row>
    <row r="367" spans="1:4" x14ac:dyDescent="0.2">
      <c r="A367" s="10" t="s">
        <v>38</v>
      </c>
      <c r="B367" s="10" t="s">
        <v>180</v>
      </c>
      <c r="C367" s="28" t="str">
        <f>VLOOKUP(Budgeted_Time[[#This Row],[Client]],Costing[],MATCH("BAS 2 Team",Costing[#Headers],0),0)</f>
        <v>Rachel</v>
      </c>
      <c r="D367" s="28">
        <f>VLOOKUP(Budgeted_Time[[#This Row],[Client]],Costing[],MATCH("Minutes/BAS 2",Costing[#Headers],0),0)</f>
        <v>15</v>
      </c>
    </row>
    <row r="368" spans="1:4" x14ac:dyDescent="0.2">
      <c r="A368" s="10" t="s">
        <v>38</v>
      </c>
      <c r="B368" s="10" t="s">
        <v>181</v>
      </c>
      <c r="C368" s="28">
        <f>VLOOKUP(Budgeted_Time[[#This Row],[Client]],Costing[],MATCH("IAS Team",Costing[#Headers],0),0)</f>
        <v>0</v>
      </c>
      <c r="D368" s="28">
        <f>VLOOKUP(Budgeted_Time[[#This Row],[Client]],Costing[],MATCH("Minutes/IAS",Costing[#Headers],0),0)</f>
        <v>0</v>
      </c>
    </row>
    <row r="369" spans="1:4" x14ac:dyDescent="0.2">
      <c r="A369" s="10" t="s">
        <v>38</v>
      </c>
      <c r="B369" s="10" t="s">
        <v>261</v>
      </c>
      <c r="C369" s="28" t="str">
        <f>VLOOKUP(Budgeted_Time[[#This Row],[Client]],Costing[],MATCH("EOFY Team 1",Costing[#Headers],0),0)</f>
        <v>Kathleen</v>
      </c>
      <c r="D369" s="28">
        <f>VLOOKUP(Budgeted_Time[[#This Row],[Client]],Costing[],MATCH("Time Min 1",Costing[#Headers],0),0)</f>
        <v>60</v>
      </c>
    </row>
    <row r="370" spans="1:4" x14ac:dyDescent="0.2">
      <c r="A370" s="10" t="s">
        <v>38</v>
      </c>
      <c r="B370" s="10" t="s">
        <v>279</v>
      </c>
      <c r="C370" s="28">
        <f>VLOOKUP(Budgeted_Time[[#This Row],[Client]],Costing[],MATCH("EOFY Team 2",Costing[#Headers],0),0)</f>
        <v>0</v>
      </c>
      <c r="D370" s="28">
        <f>VLOOKUP(Budgeted_Time[[#This Row],[Client]],Costing[],MATCH("Time Min 2",Costing[#Headers],0),0)</f>
        <v>0</v>
      </c>
    </row>
    <row r="371" spans="1:4" x14ac:dyDescent="0.2">
      <c r="A371" s="10" t="s">
        <v>38</v>
      </c>
      <c r="B371" s="10" t="s">
        <v>294</v>
      </c>
      <c r="C371" s="28" t="str">
        <f>VLOOKUP(Budgeted_Time[[#This Row],[Client]],Costing[],MATCH("Onboarding Team",Costing[#Headers],0),0)</f>
        <v>Laurence</v>
      </c>
      <c r="D371" s="28">
        <f>VLOOKUP(Budgeted_Time[[#This Row],[Client]],Costing[],MATCH("Onboarding Minutes",Costing[#Headers],0),0)</f>
        <v>172.55</v>
      </c>
    </row>
    <row r="372" spans="1:4" x14ac:dyDescent="0.2">
      <c r="A372" s="10" t="s">
        <v>39</v>
      </c>
      <c r="B372" s="10" t="s">
        <v>145</v>
      </c>
      <c r="C372" s="28" t="str">
        <f>VLOOKUP(Budgeted_Time[[#This Row],[Client]],Costing[],MATCH("Payroll Team",Costing[#Headers],0),0)</f>
        <v>Kathleen</v>
      </c>
      <c r="D372" s="28">
        <f>VLOOKUP(Budgeted_Time[[#This Row],[Client]],Costing[],MATCH("Minutes/Pay Run",Costing[#Headers],0),0)</f>
        <v>26</v>
      </c>
    </row>
    <row r="373" spans="1:4" x14ac:dyDescent="0.2">
      <c r="A373" s="10" t="s">
        <v>39</v>
      </c>
      <c r="B373" s="10" t="s">
        <v>176</v>
      </c>
      <c r="C373" s="28" t="str">
        <f>VLOOKUP(Budgeted_Time[[#This Row],[Client]],Costing[],MATCH("Super Team",Costing[#Headers],0),0)</f>
        <v>Kathleen</v>
      </c>
      <c r="D373" s="28">
        <f>VLOOKUP(Budgeted_Time[[#This Row],[Client]],Costing[],MATCH("Minutes/Super",Costing[#Headers],0),0)</f>
        <v>36</v>
      </c>
    </row>
    <row r="374" spans="1:4" x14ac:dyDescent="0.2">
      <c r="A374" s="10" t="s">
        <v>39</v>
      </c>
      <c r="B374" s="10" t="s">
        <v>177</v>
      </c>
      <c r="C374" s="28" t="str">
        <f>VLOOKUP(Budgeted_Time[[#This Row],[Client]],Costing[],MATCH("Bookkeeping Team",Costing[#Headers],0),0)</f>
        <v>Kathleen</v>
      </c>
      <c r="D374" s="28">
        <f>VLOOKUP(Budgeted_Time[[#This Row],[Client]],Costing[],MATCH("Minutes/Activity",Costing[#Headers],0),0)</f>
        <v>60</v>
      </c>
    </row>
    <row r="375" spans="1:4" x14ac:dyDescent="0.2">
      <c r="A375" s="10" t="s">
        <v>39</v>
      </c>
      <c r="B375" s="10" t="s">
        <v>178</v>
      </c>
      <c r="C375" s="28" t="str">
        <f>VLOOKUP(Budgeted_Time[[#This Row],[Client]],Costing[],MATCH("Reporting Team",Costing[#Headers],0),0)</f>
        <v>Laurence</v>
      </c>
      <c r="D375" s="28">
        <f>VLOOKUP(Budgeted_Time[[#This Row],[Client]],Costing[],MATCH("Minutes/Report",Costing[#Headers],0),0)</f>
        <v>60</v>
      </c>
    </row>
    <row r="376" spans="1:4" x14ac:dyDescent="0.2">
      <c r="A376" s="10" t="s">
        <v>39</v>
      </c>
      <c r="B376" s="10" t="s">
        <v>179</v>
      </c>
      <c r="C376" s="28" t="str">
        <f>VLOOKUP(Budgeted_Time[[#This Row],[Client]],Costing[],MATCH("BAS 1 Team",Costing[#Headers],0),0)</f>
        <v>Kathleen</v>
      </c>
      <c r="D376" s="28">
        <f>VLOOKUP(Budgeted_Time[[#This Row],[Client]],Costing[],MATCH("Minutes/BAS 1",Costing[#Headers],0),0)</f>
        <v>60</v>
      </c>
    </row>
    <row r="377" spans="1:4" x14ac:dyDescent="0.2">
      <c r="A377" s="10" t="s">
        <v>39</v>
      </c>
      <c r="B377" s="10" t="s">
        <v>180</v>
      </c>
      <c r="C377" s="28" t="str">
        <f>VLOOKUP(Budgeted_Time[[#This Row],[Client]],Costing[],MATCH("BAS 2 Team",Costing[#Headers],0),0)</f>
        <v>Rachel</v>
      </c>
      <c r="D377" s="28">
        <f>VLOOKUP(Budgeted_Time[[#This Row],[Client]],Costing[],MATCH("Minutes/BAS 2",Costing[#Headers],0),0)</f>
        <v>15</v>
      </c>
    </row>
    <row r="378" spans="1:4" x14ac:dyDescent="0.2">
      <c r="A378" s="10" t="s">
        <v>39</v>
      </c>
      <c r="B378" s="10" t="s">
        <v>181</v>
      </c>
      <c r="C378" s="28" t="str">
        <f>VLOOKUP(Budgeted_Time[[#This Row],[Client]],Costing[],MATCH("IAS Team",Costing[#Headers],0),0)</f>
        <v>Rachel</v>
      </c>
      <c r="D378" s="28">
        <f>VLOOKUP(Budgeted_Time[[#This Row],[Client]],Costing[],MATCH("Minutes/IAS",Costing[#Headers],0),0)</f>
        <v>30</v>
      </c>
    </row>
    <row r="379" spans="1:4" x14ac:dyDescent="0.2">
      <c r="A379" s="10" t="s">
        <v>39</v>
      </c>
      <c r="B379" s="10" t="s">
        <v>261</v>
      </c>
      <c r="C379" s="28" t="str">
        <f>VLOOKUP(Budgeted_Time[[#This Row],[Client]],Costing[],MATCH("EOFY Team 1",Costing[#Headers],0),0)</f>
        <v>Laurence</v>
      </c>
      <c r="D379" s="28">
        <f>VLOOKUP(Budgeted_Time[[#This Row],[Client]],Costing[],MATCH("Time Min 1",Costing[#Headers],0),0)</f>
        <v>120</v>
      </c>
    </row>
    <row r="380" spans="1:4" x14ac:dyDescent="0.2">
      <c r="A380" s="10" t="s">
        <v>39</v>
      </c>
      <c r="B380" s="10" t="s">
        <v>279</v>
      </c>
      <c r="C380" s="28" t="str">
        <f>VLOOKUP(Budgeted_Time[[#This Row],[Client]],Costing[],MATCH("EOFY Team 2",Costing[#Headers],0),0)</f>
        <v>Kathleen</v>
      </c>
      <c r="D380" s="28">
        <f>VLOOKUP(Budgeted_Time[[#This Row],[Client]],Costing[],MATCH("Time Min 2",Costing[#Headers],0),0)</f>
        <v>120</v>
      </c>
    </row>
    <row r="381" spans="1:4" x14ac:dyDescent="0.2">
      <c r="A381" s="10" t="s">
        <v>39</v>
      </c>
      <c r="B381" s="10" t="s">
        <v>294</v>
      </c>
      <c r="C381" s="28" t="str">
        <f>VLOOKUP(Budgeted_Time[[#This Row],[Client]],Costing[],MATCH("Onboarding Team",Costing[#Headers],0),0)</f>
        <v>Laurence</v>
      </c>
      <c r="D381" s="28">
        <f>VLOOKUP(Budgeted_Time[[#This Row],[Client]],Costing[],MATCH("Onboarding Minutes",Costing[#Headers],0),0)</f>
        <v>357</v>
      </c>
    </row>
    <row r="382" spans="1:4" x14ac:dyDescent="0.2">
      <c r="A382" s="10" t="s">
        <v>40</v>
      </c>
      <c r="B382" s="10" t="s">
        <v>145</v>
      </c>
      <c r="C382" s="28">
        <f>VLOOKUP(Budgeted_Time[[#This Row],[Client]],Costing[],MATCH("Payroll Team",Costing[#Headers],0),0)</f>
        <v>0</v>
      </c>
      <c r="D382" s="28">
        <f>VLOOKUP(Budgeted_Time[[#This Row],[Client]],Costing[],MATCH("Minutes/Pay Run",Costing[#Headers],0),0)</f>
        <v>0</v>
      </c>
    </row>
    <row r="383" spans="1:4" x14ac:dyDescent="0.2">
      <c r="A383" s="10" t="s">
        <v>40</v>
      </c>
      <c r="B383" s="10" t="s">
        <v>176</v>
      </c>
      <c r="C383" s="28">
        <f>VLOOKUP(Budgeted_Time[[#This Row],[Client]],Costing[],MATCH("Super Team",Costing[#Headers],0),0)</f>
        <v>0</v>
      </c>
      <c r="D383" s="28">
        <f>VLOOKUP(Budgeted_Time[[#This Row],[Client]],Costing[],MATCH("Minutes/Super",Costing[#Headers],0),0)</f>
        <v>0</v>
      </c>
    </row>
    <row r="384" spans="1:4" x14ac:dyDescent="0.2">
      <c r="A384" s="10" t="s">
        <v>40</v>
      </c>
      <c r="B384" s="10" t="s">
        <v>177</v>
      </c>
      <c r="C384" s="28" t="str">
        <f>VLOOKUP(Budgeted_Time[[#This Row],[Client]],Costing[],MATCH("Bookkeeping Team",Costing[#Headers],0),0)</f>
        <v>Rachel</v>
      </c>
      <c r="D384" s="28">
        <f>VLOOKUP(Budgeted_Time[[#This Row],[Client]],Costing[],MATCH("Minutes/Activity",Costing[#Headers],0),0)</f>
        <v>120</v>
      </c>
    </row>
    <row r="385" spans="1:4" x14ac:dyDescent="0.2">
      <c r="A385" s="10" t="s">
        <v>40</v>
      </c>
      <c r="B385" s="10" t="s">
        <v>178</v>
      </c>
      <c r="C385" s="28" t="str">
        <f>VLOOKUP(Budgeted_Time[[#This Row],[Client]],Costing[],MATCH("Reporting Team",Costing[#Headers],0),0)</f>
        <v>Kim</v>
      </c>
      <c r="D385" s="28">
        <f>VLOOKUP(Budgeted_Time[[#This Row],[Client]],Costing[],MATCH("Minutes/Report",Costing[#Headers],0),0)</f>
        <v>15</v>
      </c>
    </row>
    <row r="386" spans="1:4" x14ac:dyDescent="0.2">
      <c r="A386" s="10" t="s">
        <v>40</v>
      </c>
      <c r="B386" s="10" t="s">
        <v>179</v>
      </c>
      <c r="C386" s="28" t="str">
        <f>VLOOKUP(Budgeted_Time[[#This Row],[Client]],Costing[],MATCH("BAS 1 Team",Costing[#Headers],0),0)</f>
        <v>Rachel</v>
      </c>
      <c r="D386" s="28">
        <f>VLOOKUP(Budgeted_Time[[#This Row],[Client]],Costing[],MATCH("Minutes/BAS 1",Costing[#Headers],0),0)</f>
        <v>60</v>
      </c>
    </row>
    <row r="387" spans="1:4" x14ac:dyDescent="0.2">
      <c r="A387" s="10" t="s">
        <v>40</v>
      </c>
      <c r="B387" s="10" t="s">
        <v>180</v>
      </c>
      <c r="C387" s="28" t="str">
        <f>VLOOKUP(Budgeted_Time[[#This Row],[Client]],Costing[],MATCH("BAS 2 Team",Costing[#Headers],0),0)</f>
        <v>Rachel</v>
      </c>
      <c r="D387" s="28">
        <f>VLOOKUP(Budgeted_Time[[#This Row],[Client]],Costing[],MATCH("Minutes/BAS 2",Costing[#Headers],0),0)</f>
        <v>15</v>
      </c>
    </row>
    <row r="388" spans="1:4" x14ac:dyDescent="0.2">
      <c r="A388" s="10" t="s">
        <v>40</v>
      </c>
      <c r="B388" s="10" t="s">
        <v>181</v>
      </c>
      <c r="C388" s="28">
        <f>VLOOKUP(Budgeted_Time[[#This Row],[Client]],Costing[],MATCH("IAS Team",Costing[#Headers],0),0)</f>
        <v>0</v>
      </c>
      <c r="D388" s="28">
        <f>VLOOKUP(Budgeted_Time[[#This Row],[Client]],Costing[],MATCH("Minutes/IAS",Costing[#Headers],0),0)</f>
        <v>0</v>
      </c>
    </row>
    <row r="389" spans="1:4" x14ac:dyDescent="0.2">
      <c r="A389" s="10" t="s">
        <v>40</v>
      </c>
      <c r="B389" s="10" t="s">
        <v>261</v>
      </c>
      <c r="C389" s="28" t="str">
        <f>VLOOKUP(Budgeted_Time[[#This Row],[Client]],Costing[],MATCH("EOFY Team 1",Costing[#Headers],0),0)</f>
        <v>Kim</v>
      </c>
      <c r="D389" s="28">
        <f>VLOOKUP(Budgeted_Time[[#This Row],[Client]],Costing[],MATCH("Time Min 1",Costing[#Headers],0),0)</f>
        <v>60</v>
      </c>
    </row>
    <row r="390" spans="1:4" x14ac:dyDescent="0.2">
      <c r="A390" s="10" t="s">
        <v>40</v>
      </c>
      <c r="B390" s="10" t="s">
        <v>279</v>
      </c>
      <c r="C390" s="28" t="str">
        <f>VLOOKUP(Budgeted_Time[[#This Row],[Client]],Costing[],MATCH("EOFY Team 2",Costing[#Headers],0),0)</f>
        <v>Rachel</v>
      </c>
      <c r="D390" s="28">
        <f>VLOOKUP(Budgeted_Time[[#This Row],[Client]],Costing[],MATCH("Time Min 2",Costing[#Headers],0),0)</f>
        <v>60</v>
      </c>
    </row>
    <row r="391" spans="1:4" x14ac:dyDescent="0.2">
      <c r="A391" s="10" t="s">
        <v>40</v>
      </c>
      <c r="B391" s="10" t="s">
        <v>294</v>
      </c>
      <c r="C391" s="28" t="str">
        <f>VLOOKUP(Budgeted_Time[[#This Row],[Client]],Costing[],MATCH("Onboarding Team",Costing[#Headers],0),0)</f>
        <v>Kim</v>
      </c>
      <c r="D391" s="28">
        <f>VLOOKUP(Budgeted_Time[[#This Row],[Client]],Costing[],MATCH("Onboarding Minutes",Costing[#Headers],0),0)</f>
        <v>714</v>
      </c>
    </row>
    <row r="392" spans="1:4" x14ac:dyDescent="0.2">
      <c r="A392" s="10" t="s">
        <v>41</v>
      </c>
      <c r="B392" s="10" t="s">
        <v>145</v>
      </c>
      <c r="C392" s="28">
        <f>VLOOKUP(Budgeted_Time[[#This Row],[Client]],Costing[],MATCH("Payroll Team",Costing[#Headers],0),0)</f>
        <v>0</v>
      </c>
      <c r="D392" s="28">
        <f>VLOOKUP(Budgeted_Time[[#This Row],[Client]],Costing[],MATCH("Minutes/Pay Run",Costing[#Headers],0),0)</f>
        <v>0</v>
      </c>
    </row>
    <row r="393" spans="1:4" x14ac:dyDescent="0.2">
      <c r="A393" s="10" t="s">
        <v>41</v>
      </c>
      <c r="B393" s="10" t="s">
        <v>176</v>
      </c>
      <c r="C393" s="28">
        <f>VLOOKUP(Budgeted_Time[[#This Row],[Client]],Costing[],MATCH("Super Team",Costing[#Headers],0),0)</f>
        <v>0</v>
      </c>
      <c r="D393" s="28">
        <f>VLOOKUP(Budgeted_Time[[#This Row],[Client]],Costing[],MATCH("Minutes/Super",Costing[#Headers],0),0)</f>
        <v>0</v>
      </c>
    </row>
    <row r="394" spans="1:4" x14ac:dyDescent="0.2">
      <c r="A394" s="10" t="s">
        <v>41</v>
      </c>
      <c r="B394" s="10" t="s">
        <v>177</v>
      </c>
      <c r="C394" s="28" t="str">
        <f>VLOOKUP(Budgeted_Time[[#This Row],[Client]],Costing[],MATCH("Bookkeeping Team",Costing[#Headers],0),0)</f>
        <v>Kathleen</v>
      </c>
      <c r="D394" s="28">
        <f>VLOOKUP(Budgeted_Time[[#This Row],[Client]],Costing[],MATCH("Minutes/Activity",Costing[#Headers],0),0)</f>
        <v>60</v>
      </c>
    </row>
    <row r="395" spans="1:4" x14ac:dyDescent="0.2">
      <c r="A395" s="10" t="s">
        <v>41</v>
      </c>
      <c r="B395" s="10" t="s">
        <v>178</v>
      </c>
      <c r="C395" s="28" t="str">
        <f>VLOOKUP(Budgeted_Time[[#This Row],[Client]],Costing[],MATCH("Reporting Team",Costing[#Headers],0),0)</f>
        <v>Laurence</v>
      </c>
      <c r="D395" s="28">
        <f>VLOOKUP(Budgeted_Time[[#This Row],[Client]],Costing[],MATCH("Minutes/Report",Costing[#Headers],0),0)</f>
        <v>15</v>
      </c>
    </row>
    <row r="396" spans="1:4" x14ac:dyDescent="0.2">
      <c r="A396" s="10" t="s">
        <v>41</v>
      </c>
      <c r="B396" s="10" t="s">
        <v>179</v>
      </c>
      <c r="C396" s="28" t="str">
        <f>VLOOKUP(Budgeted_Time[[#This Row],[Client]],Costing[],MATCH("BAS 1 Team",Costing[#Headers],0),0)</f>
        <v>Kathleen</v>
      </c>
      <c r="D396" s="28">
        <f>VLOOKUP(Budgeted_Time[[#This Row],[Client]],Costing[],MATCH("Minutes/BAS 1",Costing[#Headers],0),0)</f>
        <v>60</v>
      </c>
    </row>
    <row r="397" spans="1:4" x14ac:dyDescent="0.2">
      <c r="A397" s="10" t="s">
        <v>41</v>
      </c>
      <c r="B397" s="10" t="s">
        <v>180</v>
      </c>
      <c r="C397" s="28" t="str">
        <f>VLOOKUP(Budgeted_Time[[#This Row],[Client]],Costing[],MATCH("BAS 2 Team",Costing[#Headers],0),0)</f>
        <v>Rachel</v>
      </c>
      <c r="D397" s="28">
        <f>VLOOKUP(Budgeted_Time[[#This Row],[Client]],Costing[],MATCH("Minutes/BAS 2",Costing[#Headers],0),0)</f>
        <v>15</v>
      </c>
    </row>
    <row r="398" spans="1:4" x14ac:dyDescent="0.2">
      <c r="A398" s="10" t="s">
        <v>41</v>
      </c>
      <c r="B398" s="10" t="s">
        <v>181</v>
      </c>
      <c r="C398" s="28">
        <f>VLOOKUP(Budgeted_Time[[#This Row],[Client]],Costing[],MATCH("IAS Team",Costing[#Headers],0),0)</f>
        <v>0</v>
      </c>
      <c r="D398" s="28">
        <f>VLOOKUP(Budgeted_Time[[#This Row],[Client]],Costing[],MATCH("Minutes/IAS",Costing[#Headers],0),0)</f>
        <v>0</v>
      </c>
    </row>
    <row r="399" spans="1:4" x14ac:dyDescent="0.2">
      <c r="A399" s="10" t="s">
        <v>41</v>
      </c>
      <c r="B399" s="10" t="s">
        <v>261</v>
      </c>
      <c r="C399" s="28" t="str">
        <f>VLOOKUP(Budgeted_Time[[#This Row],[Client]],Costing[],MATCH("EOFY Team 1",Costing[#Headers],0),0)</f>
        <v>Laurence</v>
      </c>
      <c r="D399" s="28">
        <f>VLOOKUP(Budgeted_Time[[#This Row],[Client]],Costing[],MATCH("Time Min 1",Costing[#Headers],0),0)</f>
        <v>60</v>
      </c>
    </row>
    <row r="400" spans="1:4" x14ac:dyDescent="0.2">
      <c r="A400" s="10" t="s">
        <v>41</v>
      </c>
      <c r="B400" s="10" t="s">
        <v>279</v>
      </c>
      <c r="C400" s="28" t="str">
        <f>VLOOKUP(Budgeted_Time[[#This Row],[Client]],Costing[],MATCH("EOFY Team 2",Costing[#Headers],0),0)</f>
        <v>Kathleen</v>
      </c>
      <c r="D400" s="28">
        <f>VLOOKUP(Budgeted_Time[[#This Row],[Client]],Costing[],MATCH("Time Min 2",Costing[#Headers],0),0)</f>
        <v>60</v>
      </c>
    </row>
    <row r="401" spans="1:4" x14ac:dyDescent="0.2">
      <c r="A401" s="10" t="s">
        <v>41</v>
      </c>
      <c r="B401" s="10" t="s">
        <v>294</v>
      </c>
      <c r="C401" s="28" t="str">
        <f>VLOOKUP(Budgeted_Time[[#This Row],[Client]],Costing[],MATCH("Onboarding Team",Costing[#Headers],0),0)</f>
        <v>Laurence</v>
      </c>
      <c r="D401" s="28">
        <f>VLOOKUP(Budgeted_Time[[#This Row],[Client]],Costing[],MATCH("Onboarding Minutes",Costing[#Headers],0),0)</f>
        <v>357</v>
      </c>
    </row>
    <row r="402" spans="1:4" x14ac:dyDescent="0.2">
      <c r="A402" s="10" t="s">
        <v>42</v>
      </c>
      <c r="B402" s="10" t="s">
        <v>145</v>
      </c>
      <c r="C402" s="28" t="str">
        <f>VLOOKUP(Budgeted_Time[[#This Row],[Client]],Costing[],MATCH("Payroll Team",Costing[#Headers],0),0)</f>
        <v>Kathleen</v>
      </c>
      <c r="D402" s="28">
        <f>VLOOKUP(Budgeted_Time[[#This Row],[Client]],Costing[],MATCH("Minutes/Pay Run",Costing[#Headers],0),0)</f>
        <v>25</v>
      </c>
    </row>
    <row r="403" spans="1:4" x14ac:dyDescent="0.2">
      <c r="A403" s="10" t="s">
        <v>42</v>
      </c>
      <c r="B403" s="10" t="s">
        <v>176</v>
      </c>
      <c r="C403" s="28" t="str">
        <f>VLOOKUP(Budgeted_Time[[#This Row],[Client]],Costing[],MATCH("Super Team",Costing[#Headers],0),0)</f>
        <v>Kathleen</v>
      </c>
      <c r="D403" s="28">
        <f>VLOOKUP(Budgeted_Time[[#This Row],[Client]],Costing[],MATCH("Minutes/Super",Costing[#Headers],0),0)</f>
        <v>15</v>
      </c>
    </row>
    <row r="404" spans="1:4" x14ac:dyDescent="0.2">
      <c r="A404" s="10" t="s">
        <v>42</v>
      </c>
      <c r="B404" s="10" t="s">
        <v>177</v>
      </c>
      <c r="C404" s="28" t="str">
        <f>VLOOKUP(Budgeted_Time[[#This Row],[Client]],Costing[],MATCH("Bookkeeping Team",Costing[#Headers],0),0)</f>
        <v>Kathleen</v>
      </c>
      <c r="D404" s="28">
        <f>VLOOKUP(Budgeted_Time[[#This Row],[Client]],Costing[],MATCH("Minutes/Activity",Costing[#Headers],0),0)</f>
        <v>150</v>
      </c>
    </row>
    <row r="405" spans="1:4" x14ac:dyDescent="0.2">
      <c r="A405" s="10" t="s">
        <v>42</v>
      </c>
      <c r="B405" s="10" t="s">
        <v>178</v>
      </c>
      <c r="C405" s="28" t="str">
        <f>VLOOKUP(Budgeted_Time[[#This Row],[Client]],Costing[],MATCH("Reporting Team",Costing[#Headers],0),0)</f>
        <v>Kim</v>
      </c>
      <c r="D405" s="28">
        <f>VLOOKUP(Budgeted_Time[[#This Row],[Client]],Costing[],MATCH("Minutes/Report",Costing[#Headers],0),0)</f>
        <v>20</v>
      </c>
    </row>
    <row r="406" spans="1:4" x14ac:dyDescent="0.2">
      <c r="A406" s="10" t="s">
        <v>42</v>
      </c>
      <c r="B406" s="10" t="s">
        <v>179</v>
      </c>
      <c r="C406" s="28" t="str">
        <f>VLOOKUP(Budgeted_Time[[#This Row],[Client]],Costing[],MATCH("BAS 1 Team",Costing[#Headers],0),0)</f>
        <v>Kathleen</v>
      </c>
      <c r="D406" s="28">
        <f>VLOOKUP(Budgeted_Time[[#This Row],[Client]],Costing[],MATCH("Minutes/BAS 1",Costing[#Headers],0),0)</f>
        <v>60</v>
      </c>
    </row>
    <row r="407" spans="1:4" x14ac:dyDescent="0.2">
      <c r="A407" s="10" t="s">
        <v>42</v>
      </c>
      <c r="B407" s="10" t="s">
        <v>180</v>
      </c>
      <c r="C407" s="28" t="str">
        <f>VLOOKUP(Budgeted_Time[[#This Row],[Client]],Costing[],MATCH("BAS 2 Team",Costing[#Headers],0),0)</f>
        <v>Rachel</v>
      </c>
      <c r="D407" s="28">
        <f>VLOOKUP(Budgeted_Time[[#This Row],[Client]],Costing[],MATCH("Minutes/BAS 2",Costing[#Headers],0),0)</f>
        <v>15</v>
      </c>
    </row>
    <row r="408" spans="1:4" x14ac:dyDescent="0.2">
      <c r="A408" s="10" t="s">
        <v>42</v>
      </c>
      <c r="B408" s="10" t="s">
        <v>181</v>
      </c>
      <c r="C408" s="28" t="str">
        <f>VLOOKUP(Budgeted_Time[[#This Row],[Client]],Costing[],MATCH("IAS Team",Costing[#Headers],0),0)</f>
        <v>Rachel</v>
      </c>
      <c r="D408" s="28">
        <f>VLOOKUP(Budgeted_Time[[#This Row],[Client]],Costing[],MATCH("Minutes/IAS",Costing[#Headers],0),0)</f>
        <v>30</v>
      </c>
    </row>
    <row r="409" spans="1:4" x14ac:dyDescent="0.2">
      <c r="A409" s="10" t="s">
        <v>42</v>
      </c>
      <c r="B409" s="10" t="s">
        <v>261</v>
      </c>
      <c r="C409" s="28" t="str">
        <f>VLOOKUP(Budgeted_Time[[#This Row],[Client]],Costing[],MATCH("EOFY Team 1",Costing[#Headers],0),0)</f>
        <v>Kim</v>
      </c>
      <c r="D409" s="28">
        <f>VLOOKUP(Budgeted_Time[[#This Row],[Client]],Costing[],MATCH("Time Min 1",Costing[#Headers],0),0)</f>
        <v>120</v>
      </c>
    </row>
    <row r="410" spans="1:4" x14ac:dyDescent="0.2">
      <c r="A410" s="10" t="s">
        <v>42</v>
      </c>
      <c r="B410" s="10" t="s">
        <v>279</v>
      </c>
      <c r="C410" s="28" t="str">
        <f>VLOOKUP(Budgeted_Time[[#This Row],[Client]],Costing[],MATCH("EOFY Team 2",Costing[#Headers],0),0)</f>
        <v>Kathleen</v>
      </c>
      <c r="D410" s="28">
        <f>VLOOKUP(Budgeted_Time[[#This Row],[Client]],Costing[],MATCH("Time Min 2",Costing[#Headers],0),0)</f>
        <v>240</v>
      </c>
    </row>
    <row r="411" spans="1:4" x14ac:dyDescent="0.2">
      <c r="A411" s="10" t="s">
        <v>42</v>
      </c>
      <c r="B411" s="10" t="s">
        <v>294</v>
      </c>
      <c r="C411" s="28" t="str">
        <f>VLOOKUP(Budgeted_Time[[#This Row],[Client]],Costing[],MATCH("Onboarding Team",Costing[#Headers],0),0)</f>
        <v>Kim</v>
      </c>
      <c r="D411" s="28">
        <f>VLOOKUP(Budgeted_Time[[#This Row],[Client]],Costing[],MATCH("Onboarding Minutes",Costing[#Headers],0),0)</f>
        <v>892.5</v>
      </c>
    </row>
    <row r="412" spans="1:4" x14ac:dyDescent="0.2">
      <c r="A412" s="10" t="s">
        <v>44</v>
      </c>
      <c r="B412" s="10" t="s">
        <v>145</v>
      </c>
      <c r="C412" s="28">
        <f>VLOOKUP(Budgeted_Time[[#This Row],[Client]],Costing[],MATCH("Payroll Team",Costing[#Headers],0),0)</f>
        <v>0</v>
      </c>
      <c r="D412" s="28">
        <f>VLOOKUP(Budgeted_Time[[#This Row],[Client]],Costing[],MATCH("Minutes/Pay Run",Costing[#Headers],0),0)</f>
        <v>0</v>
      </c>
    </row>
    <row r="413" spans="1:4" x14ac:dyDescent="0.2">
      <c r="A413" s="10" t="s">
        <v>44</v>
      </c>
      <c r="B413" s="10" t="s">
        <v>176</v>
      </c>
      <c r="C413" s="28">
        <f>VLOOKUP(Budgeted_Time[[#This Row],[Client]],Costing[],MATCH("Super Team",Costing[#Headers],0),0)</f>
        <v>0</v>
      </c>
      <c r="D413" s="28">
        <f>VLOOKUP(Budgeted_Time[[#This Row],[Client]],Costing[],MATCH("Minutes/Super",Costing[#Headers],0),0)</f>
        <v>0</v>
      </c>
    </row>
    <row r="414" spans="1:4" x14ac:dyDescent="0.2">
      <c r="A414" s="10" t="s">
        <v>44</v>
      </c>
      <c r="B414" s="10" t="s">
        <v>177</v>
      </c>
      <c r="C414" s="28" t="str">
        <f>VLOOKUP(Budgeted_Time[[#This Row],[Client]],Costing[],MATCH("Bookkeeping Team",Costing[#Headers],0),0)</f>
        <v>Rachel</v>
      </c>
      <c r="D414" s="28">
        <f>VLOOKUP(Budgeted_Time[[#This Row],[Client]],Costing[],MATCH("Minutes/Activity",Costing[#Headers],0),0)</f>
        <v>100</v>
      </c>
    </row>
    <row r="415" spans="1:4" x14ac:dyDescent="0.2">
      <c r="A415" s="10" t="s">
        <v>44</v>
      </c>
      <c r="B415" s="10" t="s">
        <v>178</v>
      </c>
      <c r="C415" s="28" t="str">
        <f>VLOOKUP(Budgeted_Time[[#This Row],[Client]],Costing[],MATCH("Reporting Team",Costing[#Headers],0),0)</f>
        <v>Rachel</v>
      </c>
      <c r="D415" s="28">
        <f>VLOOKUP(Budgeted_Time[[#This Row],[Client]],Costing[],MATCH("Minutes/Report",Costing[#Headers],0),0)</f>
        <v>30</v>
      </c>
    </row>
    <row r="416" spans="1:4" x14ac:dyDescent="0.2">
      <c r="A416" s="10" t="s">
        <v>44</v>
      </c>
      <c r="B416" s="10" t="s">
        <v>179</v>
      </c>
      <c r="C416" s="28" t="str">
        <f>VLOOKUP(Budgeted_Time[[#This Row],[Client]],Costing[],MATCH("BAS 1 Team",Costing[#Headers],0),0)</f>
        <v>Rachel</v>
      </c>
      <c r="D416" s="28">
        <f>VLOOKUP(Budgeted_Time[[#This Row],[Client]],Costing[],MATCH("Minutes/BAS 1",Costing[#Headers],0),0)</f>
        <v>60</v>
      </c>
    </row>
    <row r="417" spans="1:4" x14ac:dyDescent="0.2">
      <c r="A417" s="10" t="s">
        <v>44</v>
      </c>
      <c r="B417" s="10" t="s">
        <v>180</v>
      </c>
      <c r="C417" s="28" t="str">
        <f>VLOOKUP(Budgeted_Time[[#This Row],[Client]],Costing[],MATCH("BAS 2 Team",Costing[#Headers],0),0)</f>
        <v>Rachel</v>
      </c>
      <c r="D417" s="28">
        <f>VLOOKUP(Budgeted_Time[[#This Row],[Client]],Costing[],MATCH("Minutes/BAS 2",Costing[#Headers],0),0)</f>
        <v>15</v>
      </c>
    </row>
    <row r="418" spans="1:4" x14ac:dyDescent="0.2">
      <c r="A418" s="10" t="s">
        <v>44</v>
      </c>
      <c r="B418" s="10" t="s">
        <v>181</v>
      </c>
      <c r="C418" s="28">
        <f>VLOOKUP(Budgeted_Time[[#This Row],[Client]],Costing[],MATCH("IAS Team",Costing[#Headers],0),0)</f>
        <v>0</v>
      </c>
      <c r="D418" s="28">
        <f>VLOOKUP(Budgeted_Time[[#This Row],[Client]],Costing[],MATCH("Minutes/IAS",Costing[#Headers],0),0)</f>
        <v>0</v>
      </c>
    </row>
    <row r="419" spans="1:4" x14ac:dyDescent="0.2">
      <c r="A419" s="10" t="s">
        <v>44</v>
      </c>
      <c r="B419" s="10" t="s">
        <v>261</v>
      </c>
      <c r="C419" s="28" t="str">
        <f>VLOOKUP(Budgeted_Time[[#This Row],[Client]],Costing[],MATCH("EOFY Team 1",Costing[#Headers],0),0)</f>
        <v>Kim</v>
      </c>
      <c r="D419" s="28">
        <f>VLOOKUP(Budgeted_Time[[#This Row],[Client]],Costing[],MATCH("Time Min 1",Costing[#Headers],0),0)</f>
        <v>120</v>
      </c>
    </row>
    <row r="420" spans="1:4" x14ac:dyDescent="0.2">
      <c r="A420" s="10" t="s">
        <v>44</v>
      </c>
      <c r="B420" s="10" t="s">
        <v>279</v>
      </c>
      <c r="C420" s="28" t="str">
        <f>VLOOKUP(Budgeted_Time[[#This Row],[Client]],Costing[],MATCH("EOFY Team 2",Costing[#Headers],0),0)</f>
        <v>Rachel</v>
      </c>
      <c r="D420" s="28">
        <f>VLOOKUP(Budgeted_Time[[#This Row],[Client]],Costing[],MATCH("Time Min 2",Costing[#Headers],0),0)</f>
        <v>120</v>
      </c>
    </row>
    <row r="421" spans="1:4" x14ac:dyDescent="0.2">
      <c r="A421" s="10" t="s">
        <v>44</v>
      </c>
      <c r="B421" s="10" t="s">
        <v>294</v>
      </c>
      <c r="C421" s="28" t="str">
        <f>VLOOKUP(Budgeted_Time[[#This Row],[Client]],Costing[],MATCH("Onboarding Team",Costing[#Headers],0),0)</f>
        <v>Laurence</v>
      </c>
      <c r="D421" s="28">
        <f>VLOOKUP(Budgeted_Time[[#This Row],[Client]],Costing[],MATCH("Onboarding Minutes",Costing[#Headers],0),0)</f>
        <v>595</v>
      </c>
    </row>
    <row r="422" spans="1:4" x14ac:dyDescent="0.2">
      <c r="A422" s="10" t="s">
        <v>45</v>
      </c>
      <c r="B422" s="10" t="s">
        <v>145</v>
      </c>
      <c r="C422" s="28">
        <f>VLOOKUP(Budgeted_Time[[#This Row],[Client]],Costing[],MATCH("Payroll Team",Costing[#Headers],0),0)</f>
        <v>0</v>
      </c>
      <c r="D422" s="28">
        <f>VLOOKUP(Budgeted_Time[[#This Row],[Client]],Costing[],MATCH("Minutes/Pay Run",Costing[#Headers],0),0)</f>
        <v>0</v>
      </c>
    </row>
    <row r="423" spans="1:4" x14ac:dyDescent="0.2">
      <c r="A423" s="10" t="s">
        <v>45</v>
      </c>
      <c r="B423" s="10" t="s">
        <v>176</v>
      </c>
      <c r="C423" s="28">
        <f>VLOOKUP(Budgeted_Time[[#This Row],[Client]],Costing[],MATCH("Super Team",Costing[#Headers],0),0)</f>
        <v>0</v>
      </c>
      <c r="D423" s="28">
        <f>VLOOKUP(Budgeted_Time[[#This Row],[Client]],Costing[],MATCH("Minutes/Super",Costing[#Headers],0),0)</f>
        <v>0</v>
      </c>
    </row>
    <row r="424" spans="1:4" x14ac:dyDescent="0.2">
      <c r="A424" s="10" t="s">
        <v>45</v>
      </c>
      <c r="B424" s="10" t="s">
        <v>177</v>
      </c>
      <c r="C424" s="28" t="str">
        <f>VLOOKUP(Budgeted_Time[[#This Row],[Client]],Costing[],MATCH("Bookkeeping Team",Costing[#Headers],0),0)</f>
        <v>Rachel</v>
      </c>
      <c r="D424" s="28">
        <f>VLOOKUP(Budgeted_Time[[#This Row],[Client]],Costing[],MATCH("Minutes/Activity",Costing[#Headers],0),0)</f>
        <v>60</v>
      </c>
    </row>
    <row r="425" spans="1:4" x14ac:dyDescent="0.2">
      <c r="A425" s="10" t="s">
        <v>45</v>
      </c>
      <c r="B425" s="10" t="s">
        <v>178</v>
      </c>
      <c r="C425" s="28">
        <f>VLOOKUP(Budgeted_Time[[#This Row],[Client]],Costing[],MATCH("Reporting Team",Costing[#Headers],0),0)</f>
        <v>0</v>
      </c>
      <c r="D425" s="28">
        <f>VLOOKUP(Budgeted_Time[[#This Row],[Client]],Costing[],MATCH("Minutes/Report",Costing[#Headers],0),0)</f>
        <v>0</v>
      </c>
    </row>
    <row r="426" spans="1:4" x14ac:dyDescent="0.2">
      <c r="A426" s="10" t="s">
        <v>45</v>
      </c>
      <c r="B426" s="10" t="s">
        <v>179</v>
      </c>
      <c r="C426" s="28">
        <f>VLOOKUP(Budgeted_Time[[#This Row],[Client]],Costing[],MATCH("BAS 1 Team",Costing[#Headers],0),0)</f>
        <v>0</v>
      </c>
      <c r="D426" s="28">
        <f>VLOOKUP(Budgeted_Time[[#This Row],[Client]],Costing[],MATCH("Minutes/BAS 1",Costing[#Headers],0),0)</f>
        <v>0</v>
      </c>
    </row>
    <row r="427" spans="1:4" x14ac:dyDescent="0.2">
      <c r="A427" s="10" t="s">
        <v>45</v>
      </c>
      <c r="B427" s="10" t="s">
        <v>180</v>
      </c>
      <c r="C427" s="28">
        <f>VLOOKUP(Budgeted_Time[[#This Row],[Client]],Costing[],MATCH("BAS 2 Team",Costing[#Headers],0),0)</f>
        <v>0</v>
      </c>
      <c r="D427" s="28">
        <f>VLOOKUP(Budgeted_Time[[#This Row],[Client]],Costing[],MATCH("Minutes/BAS 2",Costing[#Headers],0),0)</f>
        <v>0</v>
      </c>
    </row>
    <row r="428" spans="1:4" x14ac:dyDescent="0.2">
      <c r="A428" s="10" t="s">
        <v>45</v>
      </c>
      <c r="B428" s="10" t="s">
        <v>181</v>
      </c>
      <c r="C428" s="28">
        <f>VLOOKUP(Budgeted_Time[[#This Row],[Client]],Costing[],MATCH("IAS Team",Costing[#Headers],0),0)</f>
        <v>0</v>
      </c>
      <c r="D428" s="28">
        <f>VLOOKUP(Budgeted_Time[[#This Row],[Client]],Costing[],MATCH("Minutes/IAS",Costing[#Headers],0),0)</f>
        <v>0</v>
      </c>
    </row>
    <row r="429" spans="1:4" x14ac:dyDescent="0.2">
      <c r="A429" s="10" t="s">
        <v>45</v>
      </c>
      <c r="B429" s="10" t="s">
        <v>261</v>
      </c>
      <c r="C429" s="28" t="str">
        <f>VLOOKUP(Budgeted_Time[[#This Row],[Client]],Costing[],MATCH("EOFY Team 1",Costing[#Headers],0),0)</f>
        <v>Kim</v>
      </c>
      <c r="D429" s="28">
        <f>VLOOKUP(Budgeted_Time[[#This Row],[Client]],Costing[],MATCH("Time Min 1",Costing[#Headers],0),0)</f>
        <v>60</v>
      </c>
    </row>
    <row r="430" spans="1:4" x14ac:dyDescent="0.2">
      <c r="A430" s="10" t="s">
        <v>45</v>
      </c>
      <c r="B430" s="10" t="s">
        <v>279</v>
      </c>
      <c r="C430" s="28" t="str">
        <f>VLOOKUP(Budgeted_Time[[#This Row],[Client]],Costing[],MATCH("EOFY Team 2",Costing[#Headers],0),0)</f>
        <v>Rachel</v>
      </c>
      <c r="D430" s="28">
        <f>VLOOKUP(Budgeted_Time[[#This Row],[Client]],Costing[],MATCH("Time Min 2",Costing[#Headers],0),0)</f>
        <v>60</v>
      </c>
    </row>
    <row r="431" spans="1:4" x14ac:dyDescent="0.2">
      <c r="A431" s="10" t="s">
        <v>45</v>
      </c>
      <c r="B431" s="10" t="s">
        <v>294</v>
      </c>
      <c r="C431" s="28" t="str">
        <f>VLOOKUP(Budgeted_Time[[#This Row],[Client]],Costing[],MATCH("Onboarding Team",Costing[#Headers],0),0)</f>
        <v>Kim</v>
      </c>
      <c r="D431" s="28">
        <f>VLOOKUP(Budgeted_Time[[#This Row],[Client]],Costing[],MATCH("Onboarding Minutes",Costing[#Headers],0),0)</f>
        <v>357</v>
      </c>
    </row>
    <row r="432" spans="1:4" x14ac:dyDescent="0.2">
      <c r="A432" s="10" t="s">
        <v>46</v>
      </c>
      <c r="B432" s="10" t="s">
        <v>145</v>
      </c>
      <c r="C432" s="28">
        <f>VLOOKUP(Budgeted_Time[[#This Row],[Client]],Costing[],MATCH("Payroll Team",Costing[#Headers],0),0)</f>
        <v>0</v>
      </c>
      <c r="D432" s="28">
        <f>VLOOKUP(Budgeted_Time[[#This Row],[Client]],Costing[],MATCH("Minutes/Pay Run",Costing[#Headers],0),0)</f>
        <v>0</v>
      </c>
    </row>
    <row r="433" spans="1:4" x14ac:dyDescent="0.2">
      <c r="A433" s="10" t="s">
        <v>46</v>
      </c>
      <c r="B433" s="10" t="s">
        <v>176</v>
      </c>
      <c r="C433" s="28">
        <f>VLOOKUP(Budgeted_Time[[#This Row],[Client]],Costing[],MATCH("Super Team",Costing[#Headers],0),0)</f>
        <v>0</v>
      </c>
      <c r="D433" s="28">
        <f>VLOOKUP(Budgeted_Time[[#This Row],[Client]],Costing[],MATCH("Minutes/Super",Costing[#Headers],0),0)</f>
        <v>0</v>
      </c>
    </row>
    <row r="434" spans="1:4" x14ac:dyDescent="0.2">
      <c r="A434" s="10" t="s">
        <v>46</v>
      </c>
      <c r="B434" s="10" t="s">
        <v>177</v>
      </c>
      <c r="C434" s="28" t="str">
        <f>VLOOKUP(Budgeted_Time[[#This Row],[Client]],Costing[],MATCH("Bookkeeping Team",Costing[#Headers],0),0)</f>
        <v>Rachel</v>
      </c>
      <c r="D434" s="28">
        <f>VLOOKUP(Budgeted_Time[[#This Row],[Client]],Costing[],MATCH("Minutes/Activity",Costing[#Headers],0),0)</f>
        <v>120</v>
      </c>
    </row>
    <row r="435" spans="1:4" x14ac:dyDescent="0.2">
      <c r="A435" s="10" t="s">
        <v>46</v>
      </c>
      <c r="B435" s="10" t="s">
        <v>178</v>
      </c>
      <c r="C435" s="28" t="str">
        <f>VLOOKUP(Budgeted_Time[[#This Row],[Client]],Costing[],MATCH("Reporting Team",Costing[#Headers],0),0)</f>
        <v>Rachel</v>
      </c>
      <c r="D435" s="28">
        <f>VLOOKUP(Budgeted_Time[[#This Row],[Client]],Costing[],MATCH("Minutes/Report",Costing[#Headers],0),0)</f>
        <v>30</v>
      </c>
    </row>
    <row r="436" spans="1:4" x14ac:dyDescent="0.2">
      <c r="A436" s="10" t="s">
        <v>46</v>
      </c>
      <c r="B436" s="10" t="s">
        <v>179</v>
      </c>
      <c r="C436" s="28" t="str">
        <f>VLOOKUP(Budgeted_Time[[#This Row],[Client]],Costing[],MATCH("BAS 1 Team",Costing[#Headers],0),0)</f>
        <v>Rachel</v>
      </c>
      <c r="D436" s="28">
        <f>VLOOKUP(Budgeted_Time[[#This Row],[Client]],Costing[],MATCH("Minutes/BAS 1",Costing[#Headers],0),0)</f>
        <v>60</v>
      </c>
    </row>
    <row r="437" spans="1:4" x14ac:dyDescent="0.2">
      <c r="A437" s="10" t="s">
        <v>46</v>
      </c>
      <c r="B437" s="10" t="s">
        <v>180</v>
      </c>
      <c r="C437" s="28" t="str">
        <f>VLOOKUP(Budgeted_Time[[#This Row],[Client]],Costing[],MATCH("BAS 2 Team",Costing[#Headers],0),0)</f>
        <v>Rachel</v>
      </c>
      <c r="D437" s="28">
        <f>VLOOKUP(Budgeted_Time[[#This Row],[Client]],Costing[],MATCH("Minutes/BAS 2",Costing[#Headers],0),0)</f>
        <v>15</v>
      </c>
    </row>
    <row r="438" spans="1:4" x14ac:dyDescent="0.2">
      <c r="A438" s="10" t="s">
        <v>46</v>
      </c>
      <c r="B438" s="10" t="s">
        <v>181</v>
      </c>
      <c r="C438" s="28">
        <f>VLOOKUP(Budgeted_Time[[#This Row],[Client]],Costing[],MATCH("IAS Team",Costing[#Headers],0),0)</f>
        <v>0</v>
      </c>
      <c r="D438" s="28">
        <f>VLOOKUP(Budgeted_Time[[#This Row],[Client]],Costing[],MATCH("Minutes/IAS",Costing[#Headers],0),0)</f>
        <v>0</v>
      </c>
    </row>
    <row r="439" spans="1:4" x14ac:dyDescent="0.2">
      <c r="A439" s="10" t="s">
        <v>46</v>
      </c>
      <c r="B439" s="10" t="s">
        <v>261</v>
      </c>
      <c r="C439" s="28" t="str">
        <f>VLOOKUP(Budgeted_Time[[#This Row],[Client]],Costing[],MATCH("EOFY Team 1",Costing[#Headers],0),0)</f>
        <v>Rachel</v>
      </c>
      <c r="D439" s="28">
        <f>VLOOKUP(Budgeted_Time[[#This Row],[Client]],Costing[],MATCH("Time Min 1",Costing[#Headers],0),0)</f>
        <v>60</v>
      </c>
    </row>
    <row r="440" spans="1:4" x14ac:dyDescent="0.2">
      <c r="A440" s="10" t="s">
        <v>46</v>
      </c>
      <c r="B440" s="10" t="s">
        <v>279</v>
      </c>
      <c r="C440" s="28" t="str">
        <f>VLOOKUP(Budgeted_Time[[#This Row],[Client]],Costing[],MATCH("EOFY Team 2",Costing[#Headers],0),0)</f>
        <v>Kim</v>
      </c>
      <c r="D440" s="28">
        <f>VLOOKUP(Budgeted_Time[[#This Row],[Client]],Costing[],MATCH("Time Min 2",Costing[#Headers],0),0)</f>
        <v>120</v>
      </c>
    </row>
    <row r="441" spans="1:4" x14ac:dyDescent="0.2">
      <c r="A441" s="10" t="s">
        <v>46</v>
      </c>
      <c r="B441" s="10" t="s">
        <v>294</v>
      </c>
      <c r="C441" s="28" t="str">
        <f>VLOOKUP(Budgeted_Time[[#This Row],[Client]],Costing[],MATCH("Onboarding Team",Costing[#Headers],0),0)</f>
        <v>Laurence</v>
      </c>
      <c r="D441" s="28">
        <f>VLOOKUP(Budgeted_Time[[#This Row],[Client]],Costing[],MATCH("Onboarding Minutes",Costing[#Headers],0),0)</f>
        <v>714</v>
      </c>
    </row>
    <row r="442" spans="1:4" x14ac:dyDescent="0.2">
      <c r="A442" s="10" t="s">
        <v>47</v>
      </c>
      <c r="B442" s="10" t="s">
        <v>145</v>
      </c>
      <c r="C442" s="28" t="str">
        <f>VLOOKUP(Budgeted_Time[[#This Row],[Client]],Costing[],MATCH("Payroll Team",Costing[#Headers],0),0)</f>
        <v>Kathleen</v>
      </c>
      <c r="D442" s="28">
        <f>VLOOKUP(Budgeted_Time[[#This Row],[Client]],Costing[],MATCH("Minutes/Pay Run",Costing[#Headers],0),0)</f>
        <v>40</v>
      </c>
    </row>
    <row r="443" spans="1:4" x14ac:dyDescent="0.2">
      <c r="A443" s="10" t="s">
        <v>47</v>
      </c>
      <c r="B443" s="10" t="s">
        <v>176</v>
      </c>
      <c r="C443" s="28">
        <f>VLOOKUP(Budgeted_Time[[#This Row],[Client]],Costing[],MATCH("Super Team",Costing[#Headers],0),0)</f>
        <v>0</v>
      </c>
      <c r="D443" s="28">
        <f>VLOOKUP(Budgeted_Time[[#This Row],[Client]],Costing[],MATCH("Minutes/Super",Costing[#Headers],0),0)</f>
        <v>0</v>
      </c>
    </row>
    <row r="444" spans="1:4" x14ac:dyDescent="0.2">
      <c r="A444" s="10" t="s">
        <v>47</v>
      </c>
      <c r="B444" s="10" t="s">
        <v>177</v>
      </c>
      <c r="C444" s="28">
        <f>VLOOKUP(Budgeted_Time[[#This Row],[Client]],Costing[],MATCH("Bookkeeping Team",Costing[#Headers],0),0)</f>
        <v>0</v>
      </c>
      <c r="D444" s="28">
        <f>VLOOKUP(Budgeted_Time[[#This Row],[Client]],Costing[],MATCH("Minutes/Activity",Costing[#Headers],0),0)</f>
        <v>0</v>
      </c>
    </row>
    <row r="445" spans="1:4" x14ac:dyDescent="0.2">
      <c r="A445" s="10" t="s">
        <v>47</v>
      </c>
      <c r="B445" s="10" t="s">
        <v>178</v>
      </c>
      <c r="C445" s="28">
        <f>VLOOKUP(Budgeted_Time[[#This Row],[Client]],Costing[],MATCH("Reporting Team",Costing[#Headers],0),0)</f>
        <v>0</v>
      </c>
      <c r="D445" s="28">
        <f>VLOOKUP(Budgeted_Time[[#This Row],[Client]],Costing[],MATCH("Minutes/Report",Costing[#Headers],0),0)</f>
        <v>0</v>
      </c>
    </row>
    <row r="446" spans="1:4" x14ac:dyDescent="0.2">
      <c r="A446" s="10" t="s">
        <v>47</v>
      </c>
      <c r="B446" s="10" t="s">
        <v>179</v>
      </c>
      <c r="C446" s="28" t="str">
        <f>VLOOKUP(Budgeted_Time[[#This Row],[Client]],Costing[],MATCH("BAS 1 Team",Costing[#Headers],0),0)</f>
        <v>Kathleen</v>
      </c>
      <c r="D446" s="28">
        <f>VLOOKUP(Budgeted_Time[[#This Row],[Client]],Costing[],MATCH("Minutes/BAS 1",Costing[#Headers],0),0)</f>
        <v>60</v>
      </c>
    </row>
    <row r="447" spans="1:4" x14ac:dyDescent="0.2">
      <c r="A447" s="10" t="s">
        <v>47</v>
      </c>
      <c r="B447" s="10" t="s">
        <v>180</v>
      </c>
      <c r="C447" s="28" t="str">
        <f>VLOOKUP(Budgeted_Time[[#This Row],[Client]],Costing[],MATCH("BAS 2 Team",Costing[#Headers],0),0)</f>
        <v>Rachel</v>
      </c>
      <c r="D447" s="28">
        <f>VLOOKUP(Budgeted_Time[[#This Row],[Client]],Costing[],MATCH("Minutes/BAS 2",Costing[#Headers],0),0)</f>
        <v>15</v>
      </c>
    </row>
    <row r="448" spans="1:4" x14ac:dyDescent="0.2">
      <c r="A448" s="10" t="s">
        <v>47</v>
      </c>
      <c r="B448" s="10" t="s">
        <v>181</v>
      </c>
      <c r="C448" s="28" t="str">
        <f>VLOOKUP(Budgeted_Time[[#This Row],[Client]],Costing[],MATCH("IAS Team",Costing[#Headers],0),0)</f>
        <v>Rachel</v>
      </c>
      <c r="D448" s="28">
        <f>VLOOKUP(Budgeted_Time[[#This Row],[Client]],Costing[],MATCH("Minutes/IAS",Costing[#Headers],0),0)</f>
        <v>30</v>
      </c>
    </row>
    <row r="449" spans="1:4" x14ac:dyDescent="0.2">
      <c r="A449" s="10" t="s">
        <v>47</v>
      </c>
      <c r="B449" s="10" t="s">
        <v>261</v>
      </c>
      <c r="C449" s="28" t="str">
        <f>VLOOKUP(Budgeted_Time[[#This Row],[Client]],Costing[],MATCH("EOFY Team 1",Costing[#Headers],0),0)</f>
        <v>Kim</v>
      </c>
      <c r="D449" s="28">
        <f>VLOOKUP(Budgeted_Time[[#This Row],[Client]],Costing[],MATCH("Time Min 1",Costing[#Headers],0),0)</f>
        <v>180</v>
      </c>
    </row>
    <row r="450" spans="1:4" x14ac:dyDescent="0.2">
      <c r="A450" s="10" t="s">
        <v>47</v>
      </c>
      <c r="B450" s="10" t="s">
        <v>279</v>
      </c>
      <c r="C450" s="28" t="str">
        <f>VLOOKUP(Budgeted_Time[[#This Row],[Client]],Costing[],MATCH("EOFY Team 2",Costing[#Headers],0),0)</f>
        <v>Kathleen</v>
      </c>
      <c r="D450" s="28">
        <f>VLOOKUP(Budgeted_Time[[#This Row],[Client]],Costing[],MATCH("Time Min 2",Costing[#Headers],0),0)</f>
        <v>240</v>
      </c>
    </row>
    <row r="451" spans="1:4" x14ac:dyDescent="0.2">
      <c r="A451" s="10" t="s">
        <v>47</v>
      </c>
      <c r="B451" s="10" t="s">
        <v>294</v>
      </c>
      <c r="C451" s="28">
        <f>VLOOKUP(Budgeted_Time[[#This Row],[Client]],Costing[],MATCH("Onboarding Team",Costing[#Headers],0),0)</f>
        <v>0</v>
      </c>
      <c r="D451" s="28" t="str">
        <f>VLOOKUP(Budgeted_Time[[#This Row],[Client]],Costing[],MATCH("Onboarding Minutes",Costing[#Headers],0),0)</f>
        <v/>
      </c>
    </row>
    <row r="452" spans="1:4" x14ac:dyDescent="0.2">
      <c r="A452" s="10" t="s">
        <v>48</v>
      </c>
      <c r="B452" s="10" t="s">
        <v>145</v>
      </c>
      <c r="C452" s="28">
        <f>VLOOKUP(Budgeted_Time[[#This Row],[Client]],Costing[],MATCH("Payroll Team",Costing[#Headers],0),0)</f>
        <v>0</v>
      </c>
      <c r="D452" s="28">
        <f>VLOOKUP(Budgeted_Time[[#This Row],[Client]],Costing[],MATCH("Minutes/Pay Run",Costing[#Headers],0),0)</f>
        <v>0</v>
      </c>
    </row>
    <row r="453" spans="1:4" x14ac:dyDescent="0.2">
      <c r="A453" s="10" t="s">
        <v>48</v>
      </c>
      <c r="B453" s="10" t="s">
        <v>176</v>
      </c>
      <c r="C453" s="28">
        <f>VLOOKUP(Budgeted_Time[[#This Row],[Client]],Costing[],MATCH("Super Team",Costing[#Headers],0),0)</f>
        <v>0</v>
      </c>
      <c r="D453" s="28">
        <f>VLOOKUP(Budgeted_Time[[#This Row],[Client]],Costing[],MATCH("Minutes/Super",Costing[#Headers],0),0)</f>
        <v>0</v>
      </c>
    </row>
    <row r="454" spans="1:4" x14ac:dyDescent="0.2">
      <c r="A454" s="10" t="s">
        <v>48</v>
      </c>
      <c r="B454" s="10" t="s">
        <v>177</v>
      </c>
      <c r="C454" s="28" t="str">
        <f>VLOOKUP(Budgeted_Time[[#This Row],[Client]],Costing[],MATCH("Bookkeeping Team",Costing[#Headers],0),0)</f>
        <v>Kathryn</v>
      </c>
      <c r="D454" s="28">
        <f>VLOOKUP(Budgeted_Time[[#This Row],[Client]],Costing[],MATCH("Minutes/Activity",Costing[#Headers],0),0)</f>
        <v>45</v>
      </c>
    </row>
    <row r="455" spans="1:4" x14ac:dyDescent="0.2">
      <c r="A455" s="10" t="s">
        <v>48</v>
      </c>
      <c r="B455" s="10" t="s">
        <v>178</v>
      </c>
      <c r="C455" s="28">
        <f>VLOOKUP(Budgeted_Time[[#This Row],[Client]],Costing[],MATCH("Reporting Team",Costing[#Headers],0),0)</f>
        <v>0</v>
      </c>
      <c r="D455" s="28">
        <f>VLOOKUP(Budgeted_Time[[#This Row],[Client]],Costing[],MATCH("Minutes/Report",Costing[#Headers],0),0)</f>
        <v>0</v>
      </c>
    </row>
    <row r="456" spans="1:4" x14ac:dyDescent="0.2">
      <c r="A456" s="10" t="s">
        <v>48</v>
      </c>
      <c r="B456" s="10" t="s">
        <v>179</v>
      </c>
      <c r="C456" s="28">
        <f>VLOOKUP(Budgeted_Time[[#This Row],[Client]],Costing[],MATCH("BAS 1 Team",Costing[#Headers],0),0)</f>
        <v>0</v>
      </c>
      <c r="D456" s="28">
        <f>VLOOKUP(Budgeted_Time[[#This Row],[Client]],Costing[],MATCH("Minutes/BAS 1",Costing[#Headers],0),0)</f>
        <v>0</v>
      </c>
    </row>
    <row r="457" spans="1:4" x14ac:dyDescent="0.2">
      <c r="A457" s="10" t="s">
        <v>48</v>
      </c>
      <c r="B457" s="10" t="s">
        <v>180</v>
      </c>
      <c r="C457" s="28">
        <f>VLOOKUP(Budgeted_Time[[#This Row],[Client]],Costing[],MATCH("BAS 2 Team",Costing[#Headers],0),0)</f>
        <v>0</v>
      </c>
      <c r="D457" s="28">
        <f>VLOOKUP(Budgeted_Time[[#This Row],[Client]],Costing[],MATCH("Minutes/BAS 2",Costing[#Headers],0),0)</f>
        <v>0</v>
      </c>
    </row>
    <row r="458" spans="1:4" x14ac:dyDescent="0.2">
      <c r="A458" s="10" t="s">
        <v>48</v>
      </c>
      <c r="B458" s="10" t="s">
        <v>181</v>
      </c>
      <c r="C458" s="28">
        <f>VLOOKUP(Budgeted_Time[[#This Row],[Client]],Costing[],MATCH("IAS Team",Costing[#Headers],0),0)</f>
        <v>0</v>
      </c>
      <c r="D458" s="28">
        <f>VLOOKUP(Budgeted_Time[[#This Row],[Client]],Costing[],MATCH("Minutes/IAS",Costing[#Headers],0),0)</f>
        <v>0</v>
      </c>
    </row>
    <row r="459" spans="1:4" x14ac:dyDescent="0.2">
      <c r="A459" s="10" t="s">
        <v>48</v>
      </c>
      <c r="B459" s="10" t="s">
        <v>261</v>
      </c>
      <c r="C459" s="28" t="str">
        <f>VLOOKUP(Budgeted_Time[[#This Row],[Client]],Costing[],MATCH("EOFY Team 1",Costing[#Headers],0),0)</f>
        <v>Kathryn</v>
      </c>
      <c r="D459" s="28">
        <f>VLOOKUP(Budgeted_Time[[#This Row],[Client]],Costing[],MATCH("Time Min 1",Costing[#Headers],0),0)</f>
        <v>60</v>
      </c>
    </row>
    <row r="460" spans="1:4" x14ac:dyDescent="0.2">
      <c r="A460" s="10" t="s">
        <v>48</v>
      </c>
      <c r="B460" s="10" t="s">
        <v>279</v>
      </c>
      <c r="C460" s="28" t="str">
        <f>VLOOKUP(Budgeted_Time[[#This Row],[Client]],Costing[],MATCH("EOFY Team 2",Costing[#Headers],0),0)</f>
        <v>Laurence</v>
      </c>
      <c r="D460" s="28">
        <f>VLOOKUP(Budgeted_Time[[#This Row],[Client]],Costing[],MATCH("Time Min 2",Costing[#Headers],0),0)</f>
        <v>60</v>
      </c>
    </row>
    <row r="461" spans="1:4" x14ac:dyDescent="0.2">
      <c r="A461" s="10" t="s">
        <v>48</v>
      </c>
      <c r="B461" s="10" t="s">
        <v>294</v>
      </c>
      <c r="C461" s="28" t="str">
        <f>VLOOKUP(Budgeted_Time[[#This Row],[Client]],Costing[],MATCH("Onboarding Team",Costing[#Headers],0),0)</f>
        <v>Laurence</v>
      </c>
      <c r="D461" s="28">
        <f>VLOOKUP(Budgeted_Time[[#This Row],[Client]],Costing[],MATCH("Onboarding Minutes",Costing[#Headers],0),0)</f>
        <v>267.75</v>
      </c>
    </row>
    <row r="462" spans="1:4" x14ac:dyDescent="0.2">
      <c r="A462" s="10" t="s">
        <v>50</v>
      </c>
      <c r="B462" s="10" t="s">
        <v>145</v>
      </c>
      <c r="C462" s="28">
        <f>VLOOKUP(Budgeted_Time[[#This Row],[Client]],Costing[],MATCH("Payroll Team",Costing[#Headers],0),0)</f>
        <v>0</v>
      </c>
      <c r="D462" s="28">
        <f>VLOOKUP(Budgeted_Time[[#This Row],[Client]],Costing[],MATCH("Minutes/Pay Run",Costing[#Headers],0),0)</f>
        <v>0</v>
      </c>
    </row>
    <row r="463" spans="1:4" x14ac:dyDescent="0.2">
      <c r="A463" s="10" t="s">
        <v>50</v>
      </c>
      <c r="B463" s="10" t="s">
        <v>176</v>
      </c>
      <c r="C463" s="28">
        <f>VLOOKUP(Budgeted_Time[[#This Row],[Client]],Costing[],MATCH("Super Team",Costing[#Headers],0),0)</f>
        <v>0</v>
      </c>
      <c r="D463" s="28">
        <f>VLOOKUP(Budgeted_Time[[#This Row],[Client]],Costing[],MATCH("Minutes/Super",Costing[#Headers],0),0)</f>
        <v>0</v>
      </c>
    </row>
    <row r="464" spans="1:4" x14ac:dyDescent="0.2">
      <c r="A464" s="10" t="s">
        <v>50</v>
      </c>
      <c r="B464" s="10" t="s">
        <v>177</v>
      </c>
      <c r="C464" s="28" t="str">
        <f>VLOOKUP(Budgeted_Time[[#This Row],[Client]],Costing[],MATCH("Bookkeeping Team",Costing[#Headers],0),0)</f>
        <v>Kathryn</v>
      </c>
      <c r="D464" s="28">
        <f>VLOOKUP(Budgeted_Time[[#This Row],[Client]],Costing[],MATCH("Minutes/Activity",Costing[#Headers],0),0)</f>
        <v>120</v>
      </c>
    </row>
    <row r="465" spans="1:4" x14ac:dyDescent="0.2">
      <c r="A465" s="10" t="s">
        <v>50</v>
      </c>
      <c r="B465" s="10" t="s">
        <v>178</v>
      </c>
      <c r="C465" s="28" t="str">
        <f>VLOOKUP(Budgeted_Time[[#This Row],[Client]],Costing[],MATCH("Reporting Team",Costing[#Headers],0),0)</f>
        <v>Kathleen</v>
      </c>
      <c r="D465" s="28">
        <f>VLOOKUP(Budgeted_Time[[#This Row],[Client]],Costing[],MATCH("Minutes/Report",Costing[#Headers],0),0)</f>
        <v>30</v>
      </c>
    </row>
    <row r="466" spans="1:4" x14ac:dyDescent="0.2">
      <c r="A466" s="10" t="s">
        <v>50</v>
      </c>
      <c r="B466" s="10" t="s">
        <v>179</v>
      </c>
      <c r="C466" s="28" t="str">
        <f>VLOOKUP(Budgeted_Time[[#This Row],[Client]],Costing[],MATCH("BAS 1 Team",Costing[#Headers],0),0)</f>
        <v>Kathryn</v>
      </c>
      <c r="D466" s="28">
        <f>VLOOKUP(Budgeted_Time[[#This Row],[Client]],Costing[],MATCH("Minutes/BAS 1",Costing[#Headers],0),0)</f>
        <v>60</v>
      </c>
    </row>
    <row r="467" spans="1:4" x14ac:dyDescent="0.2">
      <c r="A467" s="10" t="s">
        <v>50</v>
      </c>
      <c r="B467" s="10" t="s">
        <v>180</v>
      </c>
      <c r="C467" s="28" t="str">
        <f>VLOOKUP(Budgeted_Time[[#This Row],[Client]],Costing[],MATCH("BAS 2 Team",Costing[#Headers],0),0)</f>
        <v>Rachel</v>
      </c>
      <c r="D467" s="28">
        <f>VLOOKUP(Budgeted_Time[[#This Row],[Client]],Costing[],MATCH("Minutes/BAS 2",Costing[#Headers],0),0)</f>
        <v>15</v>
      </c>
    </row>
    <row r="468" spans="1:4" x14ac:dyDescent="0.2">
      <c r="A468" s="10" t="s">
        <v>50</v>
      </c>
      <c r="B468" s="10" t="s">
        <v>181</v>
      </c>
      <c r="C468" s="28">
        <f>VLOOKUP(Budgeted_Time[[#This Row],[Client]],Costing[],MATCH("IAS Team",Costing[#Headers],0),0)</f>
        <v>0</v>
      </c>
      <c r="D468" s="28">
        <f>VLOOKUP(Budgeted_Time[[#This Row],[Client]],Costing[],MATCH("Minutes/IAS",Costing[#Headers],0),0)</f>
        <v>0</v>
      </c>
    </row>
    <row r="469" spans="1:4" x14ac:dyDescent="0.2">
      <c r="A469" s="10" t="s">
        <v>50</v>
      </c>
      <c r="B469" s="10" t="s">
        <v>261</v>
      </c>
      <c r="C469" s="28" t="str">
        <f>VLOOKUP(Budgeted_Time[[#This Row],[Client]],Costing[],MATCH("EOFY Team 1",Costing[#Headers],0),0)</f>
        <v>Kathryn</v>
      </c>
      <c r="D469" s="28">
        <f>VLOOKUP(Budgeted_Time[[#This Row],[Client]],Costing[],MATCH("Time Min 1",Costing[#Headers],0),0)</f>
        <v>120</v>
      </c>
    </row>
    <row r="470" spans="1:4" x14ac:dyDescent="0.2">
      <c r="A470" s="10" t="s">
        <v>50</v>
      </c>
      <c r="B470" s="10" t="s">
        <v>279</v>
      </c>
      <c r="C470" s="28" t="str">
        <f>VLOOKUP(Budgeted_Time[[#This Row],[Client]],Costing[],MATCH("EOFY Team 2",Costing[#Headers],0),0)</f>
        <v>Laurence</v>
      </c>
      <c r="D470" s="28">
        <f>VLOOKUP(Budgeted_Time[[#This Row],[Client]],Costing[],MATCH("Time Min 2",Costing[#Headers],0),0)</f>
        <v>120</v>
      </c>
    </row>
    <row r="471" spans="1:4" x14ac:dyDescent="0.2">
      <c r="A471" s="10" t="s">
        <v>50</v>
      </c>
      <c r="B471" s="10" t="s">
        <v>294</v>
      </c>
      <c r="C471" s="28" t="str">
        <f>VLOOKUP(Budgeted_Time[[#This Row],[Client]],Costing[],MATCH("Onboarding Team",Costing[#Headers],0),0)</f>
        <v>Kim</v>
      </c>
      <c r="D471" s="28">
        <f>VLOOKUP(Budgeted_Time[[#This Row],[Client]],Costing[],MATCH("Onboarding Minutes",Costing[#Headers],0),0)</f>
        <v>714</v>
      </c>
    </row>
    <row r="472" spans="1:4" x14ac:dyDescent="0.2">
      <c r="A472" s="10" t="s">
        <v>282</v>
      </c>
      <c r="B472" s="10" t="s">
        <v>145</v>
      </c>
      <c r="C472" s="28">
        <f>VLOOKUP(Budgeted_Time[[#This Row],[Client]],Costing[],MATCH("Payroll Team",Costing[#Headers],0),0)</f>
        <v>0</v>
      </c>
      <c r="D472" s="28">
        <f>VLOOKUP(Budgeted_Time[[#This Row],[Client]],Costing[],MATCH("Minutes/Pay Run",Costing[#Headers],0),0)</f>
        <v>0</v>
      </c>
    </row>
    <row r="473" spans="1:4" x14ac:dyDescent="0.2">
      <c r="A473" s="10" t="s">
        <v>282</v>
      </c>
      <c r="B473" s="10" t="s">
        <v>176</v>
      </c>
      <c r="C473" s="28">
        <f>VLOOKUP(Budgeted_Time[[#This Row],[Client]],Costing[],MATCH("Super Team",Costing[#Headers],0),0)</f>
        <v>0</v>
      </c>
      <c r="D473" s="28">
        <f>VLOOKUP(Budgeted_Time[[#This Row],[Client]],Costing[],MATCH("Minutes/Super",Costing[#Headers],0),0)</f>
        <v>0</v>
      </c>
    </row>
    <row r="474" spans="1:4" x14ac:dyDescent="0.2">
      <c r="A474" s="10" t="s">
        <v>282</v>
      </c>
      <c r="B474" s="10" t="s">
        <v>177</v>
      </c>
      <c r="C474" s="28" t="str">
        <f>VLOOKUP(Budgeted_Time[[#This Row],[Client]],Costing[],MATCH("Bookkeeping Team",Costing[#Headers],0),0)</f>
        <v>Kathleen</v>
      </c>
      <c r="D474" s="28">
        <f>VLOOKUP(Budgeted_Time[[#This Row],[Client]],Costing[],MATCH("Minutes/Activity",Costing[#Headers],0),0)</f>
        <v>60</v>
      </c>
    </row>
    <row r="475" spans="1:4" x14ac:dyDescent="0.2">
      <c r="A475" s="10" t="s">
        <v>282</v>
      </c>
      <c r="B475" s="10" t="s">
        <v>178</v>
      </c>
      <c r="C475" s="28">
        <f>VLOOKUP(Budgeted_Time[[#This Row],[Client]],Costing[],MATCH("Reporting Team",Costing[#Headers],0),0)</f>
        <v>0</v>
      </c>
      <c r="D475" s="28">
        <f>VLOOKUP(Budgeted_Time[[#This Row],[Client]],Costing[],MATCH("Minutes/Report",Costing[#Headers],0),0)</f>
        <v>0</v>
      </c>
    </row>
    <row r="476" spans="1:4" x14ac:dyDescent="0.2">
      <c r="A476" s="10" t="s">
        <v>282</v>
      </c>
      <c r="B476" s="10" t="s">
        <v>179</v>
      </c>
      <c r="C476" s="28" t="str">
        <f>VLOOKUP(Budgeted_Time[[#This Row],[Client]],Costing[],MATCH("BAS 1 Team",Costing[#Headers],0),0)</f>
        <v>Kim</v>
      </c>
      <c r="D476" s="28">
        <f>VLOOKUP(Budgeted_Time[[#This Row],[Client]],Costing[],MATCH("Minutes/BAS 1",Costing[#Headers],0),0)</f>
        <v>60</v>
      </c>
    </row>
    <row r="477" spans="1:4" x14ac:dyDescent="0.2">
      <c r="A477" s="10" t="s">
        <v>282</v>
      </c>
      <c r="B477" s="10" t="s">
        <v>180</v>
      </c>
      <c r="C477" s="28" t="str">
        <f>VLOOKUP(Budgeted_Time[[#This Row],[Client]],Costing[],MATCH("BAS 2 Team",Costing[#Headers],0),0)</f>
        <v>Rachel</v>
      </c>
      <c r="D477" s="28">
        <f>VLOOKUP(Budgeted_Time[[#This Row],[Client]],Costing[],MATCH("Minutes/BAS 2",Costing[#Headers],0),0)</f>
        <v>15</v>
      </c>
    </row>
    <row r="478" spans="1:4" x14ac:dyDescent="0.2">
      <c r="A478" s="10" t="s">
        <v>282</v>
      </c>
      <c r="B478" s="10" t="s">
        <v>181</v>
      </c>
      <c r="C478" s="28">
        <f>VLOOKUP(Budgeted_Time[[#This Row],[Client]],Costing[],MATCH("IAS Team",Costing[#Headers],0),0)</f>
        <v>0</v>
      </c>
      <c r="D478" s="28">
        <f>VLOOKUP(Budgeted_Time[[#This Row],[Client]],Costing[],MATCH("Minutes/IAS",Costing[#Headers],0),0)</f>
        <v>0</v>
      </c>
    </row>
    <row r="479" spans="1:4" x14ac:dyDescent="0.2">
      <c r="A479" s="10" t="s">
        <v>282</v>
      </c>
      <c r="B479" s="10" t="s">
        <v>261</v>
      </c>
      <c r="C479" s="28" t="str">
        <f>VLOOKUP(Budgeted_Time[[#This Row],[Client]],Costing[],MATCH("EOFY Team 1",Costing[#Headers],0),0)</f>
        <v>Kim</v>
      </c>
      <c r="D479" s="28">
        <f>VLOOKUP(Budgeted_Time[[#This Row],[Client]],Costing[],MATCH("Time Min 1",Costing[#Headers],0),0)</f>
        <v>120</v>
      </c>
    </row>
    <row r="480" spans="1:4" x14ac:dyDescent="0.2">
      <c r="A480" s="10" t="s">
        <v>282</v>
      </c>
      <c r="B480" s="10" t="s">
        <v>279</v>
      </c>
      <c r="C480" s="28" t="str">
        <f>VLOOKUP(Budgeted_Time[[#This Row],[Client]],Costing[],MATCH("EOFY Team 2",Costing[#Headers],0),0)</f>
        <v>Rachel</v>
      </c>
      <c r="D480" s="28">
        <f>VLOOKUP(Budgeted_Time[[#This Row],[Client]],Costing[],MATCH("Time Min 2",Costing[#Headers],0),0)</f>
        <v>60</v>
      </c>
    </row>
    <row r="481" spans="1:4" x14ac:dyDescent="0.2">
      <c r="A481" s="10" t="s">
        <v>282</v>
      </c>
      <c r="B481" s="10" t="s">
        <v>294</v>
      </c>
      <c r="C481" s="28" t="str">
        <f>VLOOKUP(Budgeted_Time[[#This Row],[Client]],Costing[],MATCH("Onboarding Team",Costing[#Headers],0),0)</f>
        <v>Kim</v>
      </c>
      <c r="D481" s="28">
        <f>VLOOKUP(Budgeted_Time[[#This Row],[Client]],Costing[],MATCH("Onboarding Minutes",Costing[#Headers],0),0)</f>
        <v>357</v>
      </c>
    </row>
    <row r="482" spans="1:4" x14ac:dyDescent="0.2">
      <c r="A482" s="10" t="s">
        <v>51</v>
      </c>
      <c r="B482" s="10" t="s">
        <v>145</v>
      </c>
      <c r="C482" s="28">
        <f>VLOOKUP(Budgeted_Time[[#This Row],[Client]],Costing[],MATCH("Payroll Team",Costing[#Headers],0),0)</f>
        <v>0</v>
      </c>
      <c r="D482" s="28">
        <f>VLOOKUP(Budgeted_Time[[#This Row],[Client]],Costing[],MATCH("Minutes/Pay Run",Costing[#Headers],0),0)</f>
        <v>0</v>
      </c>
    </row>
    <row r="483" spans="1:4" x14ac:dyDescent="0.2">
      <c r="A483" s="10" t="s">
        <v>51</v>
      </c>
      <c r="B483" s="10" t="s">
        <v>176</v>
      </c>
      <c r="C483" s="28">
        <f>VLOOKUP(Budgeted_Time[[#This Row],[Client]],Costing[],MATCH("Super Team",Costing[#Headers],0),0)</f>
        <v>0</v>
      </c>
      <c r="D483" s="28">
        <f>VLOOKUP(Budgeted_Time[[#This Row],[Client]],Costing[],MATCH("Minutes/Super",Costing[#Headers],0),0)</f>
        <v>0</v>
      </c>
    </row>
    <row r="484" spans="1:4" x14ac:dyDescent="0.2">
      <c r="A484" s="10" t="s">
        <v>51</v>
      </c>
      <c r="B484" s="10" t="s">
        <v>177</v>
      </c>
      <c r="C484" s="28" t="str">
        <f>VLOOKUP(Budgeted_Time[[#This Row],[Client]],Costing[],MATCH("Bookkeeping Team",Costing[#Headers],0),0)</f>
        <v>Rachel</v>
      </c>
      <c r="D484" s="28">
        <f>VLOOKUP(Budgeted_Time[[#This Row],[Client]],Costing[],MATCH("Minutes/Activity",Costing[#Headers],0),0)</f>
        <v>145</v>
      </c>
    </row>
    <row r="485" spans="1:4" x14ac:dyDescent="0.2">
      <c r="A485" s="10" t="s">
        <v>51</v>
      </c>
      <c r="B485" s="10" t="s">
        <v>178</v>
      </c>
      <c r="C485" s="28" t="str">
        <f>VLOOKUP(Budgeted_Time[[#This Row],[Client]],Costing[],MATCH("Reporting Team",Costing[#Headers],0),0)</f>
        <v>Kim</v>
      </c>
      <c r="D485" s="28">
        <f>VLOOKUP(Budgeted_Time[[#This Row],[Client]],Costing[],MATCH("Minutes/Report",Costing[#Headers],0),0)</f>
        <v>45</v>
      </c>
    </row>
    <row r="486" spans="1:4" x14ac:dyDescent="0.2">
      <c r="A486" s="10" t="s">
        <v>51</v>
      </c>
      <c r="B486" s="10" t="s">
        <v>179</v>
      </c>
      <c r="C486" s="28" t="str">
        <f>VLOOKUP(Budgeted_Time[[#This Row],[Client]],Costing[],MATCH("BAS 1 Team",Costing[#Headers],0),0)</f>
        <v>Rachel</v>
      </c>
      <c r="D486" s="28">
        <f>VLOOKUP(Budgeted_Time[[#This Row],[Client]],Costing[],MATCH("Minutes/BAS 1",Costing[#Headers],0),0)</f>
        <v>60</v>
      </c>
    </row>
    <row r="487" spans="1:4" x14ac:dyDescent="0.2">
      <c r="A487" s="10" t="s">
        <v>51</v>
      </c>
      <c r="B487" s="10" t="s">
        <v>180</v>
      </c>
      <c r="C487" s="28" t="str">
        <f>VLOOKUP(Budgeted_Time[[#This Row],[Client]],Costing[],MATCH("BAS 2 Team",Costing[#Headers],0),0)</f>
        <v>Rachel</v>
      </c>
      <c r="D487" s="28">
        <f>VLOOKUP(Budgeted_Time[[#This Row],[Client]],Costing[],MATCH("Minutes/BAS 2",Costing[#Headers],0),0)</f>
        <v>15</v>
      </c>
    </row>
    <row r="488" spans="1:4" x14ac:dyDescent="0.2">
      <c r="A488" s="10" t="s">
        <v>51</v>
      </c>
      <c r="B488" s="10" t="s">
        <v>181</v>
      </c>
      <c r="C488" s="28">
        <f>VLOOKUP(Budgeted_Time[[#This Row],[Client]],Costing[],MATCH("IAS Team",Costing[#Headers],0),0)</f>
        <v>0</v>
      </c>
      <c r="D488" s="28">
        <f>VLOOKUP(Budgeted_Time[[#This Row],[Client]],Costing[],MATCH("Minutes/IAS",Costing[#Headers],0),0)</f>
        <v>0</v>
      </c>
    </row>
    <row r="489" spans="1:4" x14ac:dyDescent="0.2">
      <c r="A489" s="10" t="s">
        <v>51</v>
      </c>
      <c r="B489" s="10" t="s">
        <v>261</v>
      </c>
      <c r="C489" s="28" t="str">
        <f>VLOOKUP(Budgeted_Time[[#This Row],[Client]],Costing[],MATCH("EOFY Team 1",Costing[#Headers],0),0)</f>
        <v>Kim</v>
      </c>
      <c r="D489" s="28">
        <f>VLOOKUP(Budgeted_Time[[#This Row],[Client]],Costing[],MATCH("Time Min 1",Costing[#Headers],0),0)</f>
        <v>120</v>
      </c>
    </row>
    <row r="490" spans="1:4" x14ac:dyDescent="0.2">
      <c r="A490" s="10" t="s">
        <v>51</v>
      </c>
      <c r="B490" s="10" t="s">
        <v>279</v>
      </c>
      <c r="C490" s="28" t="str">
        <f>VLOOKUP(Budgeted_Time[[#This Row],[Client]],Costing[],MATCH("EOFY Team 2",Costing[#Headers],0),0)</f>
        <v>Rachel</v>
      </c>
      <c r="D490" s="28">
        <f>VLOOKUP(Budgeted_Time[[#This Row],[Client]],Costing[],MATCH("Time Min 2",Costing[#Headers],0),0)</f>
        <v>60</v>
      </c>
    </row>
    <row r="491" spans="1:4" x14ac:dyDescent="0.2">
      <c r="A491" s="10" t="s">
        <v>51</v>
      </c>
      <c r="B491" s="10" t="s">
        <v>294</v>
      </c>
      <c r="C491" s="28" t="str">
        <f>VLOOKUP(Budgeted_Time[[#This Row],[Client]],Costing[],MATCH("Onboarding Team",Costing[#Headers],0),0)</f>
        <v>Kim</v>
      </c>
      <c r="D491" s="28">
        <f>VLOOKUP(Budgeted_Time[[#This Row],[Client]],Costing[],MATCH("Onboarding Minutes",Costing[#Headers],0),0)</f>
        <v>862.75</v>
      </c>
    </row>
    <row r="492" spans="1:4" x14ac:dyDescent="0.2">
      <c r="A492" s="10" t="s">
        <v>54</v>
      </c>
      <c r="B492" s="10" t="s">
        <v>145</v>
      </c>
      <c r="C492" s="28">
        <f>VLOOKUP(Budgeted_Time[[#This Row],[Client]],Costing[],MATCH("Payroll Team",Costing[#Headers],0),0)</f>
        <v>0</v>
      </c>
      <c r="D492" s="28">
        <f>VLOOKUP(Budgeted_Time[[#This Row],[Client]],Costing[],MATCH("Minutes/Pay Run",Costing[#Headers],0),0)</f>
        <v>0</v>
      </c>
    </row>
    <row r="493" spans="1:4" x14ac:dyDescent="0.2">
      <c r="A493" s="10" t="s">
        <v>54</v>
      </c>
      <c r="B493" s="10" t="s">
        <v>176</v>
      </c>
      <c r="C493" s="28">
        <f>VLOOKUP(Budgeted_Time[[#This Row],[Client]],Costing[],MATCH("Super Team",Costing[#Headers],0),0)</f>
        <v>0</v>
      </c>
      <c r="D493" s="28">
        <f>VLOOKUP(Budgeted_Time[[#This Row],[Client]],Costing[],MATCH("Minutes/Super",Costing[#Headers],0),0)</f>
        <v>0</v>
      </c>
    </row>
    <row r="494" spans="1:4" x14ac:dyDescent="0.2">
      <c r="A494" s="10" t="s">
        <v>54</v>
      </c>
      <c r="B494" s="10" t="s">
        <v>177</v>
      </c>
      <c r="C494" s="28" t="str">
        <f>VLOOKUP(Budgeted_Time[[#This Row],[Client]],Costing[],MATCH("Bookkeeping Team",Costing[#Headers],0),0)</f>
        <v>Rachel</v>
      </c>
      <c r="D494" s="28">
        <f>VLOOKUP(Budgeted_Time[[#This Row],[Client]],Costing[],MATCH("Minutes/Activity",Costing[#Headers],0),0)</f>
        <v>134</v>
      </c>
    </row>
    <row r="495" spans="1:4" x14ac:dyDescent="0.2">
      <c r="A495" s="10" t="s">
        <v>54</v>
      </c>
      <c r="B495" s="10" t="s">
        <v>178</v>
      </c>
      <c r="C495" s="28" t="str">
        <f>VLOOKUP(Budgeted_Time[[#This Row],[Client]],Costing[],MATCH("Reporting Team",Costing[#Headers],0),0)</f>
        <v>Laurence</v>
      </c>
      <c r="D495" s="28">
        <f>VLOOKUP(Budgeted_Time[[#This Row],[Client]],Costing[],MATCH("Minutes/Report",Costing[#Headers],0),0)</f>
        <v>20</v>
      </c>
    </row>
    <row r="496" spans="1:4" x14ac:dyDescent="0.2">
      <c r="A496" s="10" t="s">
        <v>54</v>
      </c>
      <c r="B496" s="10" t="s">
        <v>179</v>
      </c>
      <c r="C496" s="28" t="str">
        <f>VLOOKUP(Budgeted_Time[[#This Row],[Client]],Costing[],MATCH("BAS 1 Team",Costing[#Headers],0),0)</f>
        <v>Rachel</v>
      </c>
      <c r="D496" s="28">
        <f>VLOOKUP(Budgeted_Time[[#This Row],[Client]],Costing[],MATCH("Minutes/BAS 1",Costing[#Headers],0),0)</f>
        <v>60</v>
      </c>
    </row>
    <row r="497" spans="1:4" x14ac:dyDescent="0.2">
      <c r="A497" s="10" t="s">
        <v>54</v>
      </c>
      <c r="B497" s="10" t="s">
        <v>180</v>
      </c>
      <c r="C497" s="28" t="str">
        <f>VLOOKUP(Budgeted_Time[[#This Row],[Client]],Costing[],MATCH("BAS 2 Team",Costing[#Headers],0),0)</f>
        <v>Rachel</v>
      </c>
      <c r="D497" s="28">
        <f>VLOOKUP(Budgeted_Time[[#This Row],[Client]],Costing[],MATCH("Minutes/BAS 2",Costing[#Headers],0),0)</f>
        <v>15</v>
      </c>
    </row>
    <row r="498" spans="1:4" x14ac:dyDescent="0.2">
      <c r="A498" s="10" t="s">
        <v>54</v>
      </c>
      <c r="B498" s="10" t="s">
        <v>181</v>
      </c>
      <c r="C498" s="28">
        <f>VLOOKUP(Budgeted_Time[[#This Row],[Client]],Costing[],MATCH("IAS Team",Costing[#Headers],0),0)</f>
        <v>0</v>
      </c>
      <c r="D498" s="28">
        <f>VLOOKUP(Budgeted_Time[[#This Row],[Client]],Costing[],MATCH("Minutes/IAS",Costing[#Headers],0),0)</f>
        <v>0</v>
      </c>
    </row>
    <row r="499" spans="1:4" x14ac:dyDescent="0.2">
      <c r="A499" s="10" t="s">
        <v>54</v>
      </c>
      <c r="B499" s="10" t="s">
        <v>261</v>
      </c>
      <c r="C499" s="28" t="str">
        <f>VLOOKUP(Budgeted_Time[[#This Row],[Client]],Costing[],MATCH("EOFY Team 1",Costing[#Headers],0),0)</f>
        <v>Rachel</v>
      </c>
      <c r="D499" s="28">
        <f>VLOOKUP(Budgeted_Time[[#This Row],[Client]],Costing[],MATCH("Time Min 1",Costing[#Headers],0),0)</f>
        <v>120</v>
      </c>
    </row>
    <row r="500" spans="1:4" x14ac:dyDescent="0.2">
      <c r="A500" s="10" t="s">
        <v>54</v>
      </c>
      <c r="B500" s="10" t="s">
        <v>279</v>
      </c>
      <c r="C500" s="28" t="str">
        <f>VLOOKUP(Budgeted_Time[[#This Row],[Client]],Costing[],MATCH("EOFY Team 2",Costing[#Headers],0),0)</f>
        <v>Laurence</v>
      </c>
      <c r="D500" s="28">
        <f>VLOOKUP(Budgeted_Time[[#This Row],[Client]],Costing[],MATCH("Time Min 2",Costing[#Headers],0),0)</f>
        <v>120</v>
      </c>
    </row>
    <row r="501" spans="1:4" x14ac:dyDescent="0.2">
      <c r="A501" s="10" t="s">
        <v>54</v>
      </c>
      <c r="B501" s="10" t="s">
        <v>294</v>
      </c>
      <c r="C501" s="28" t="str">
        <f>VLOOKUP(Budgeted_Time[[#This Row],[Client]],Costing[],MATCH("Onboarding Team",Costing[#Headers],0),0)</f>
        <v>Laurence</v>
      </c>
      <c r="D501" s="28">
        <f>VLOOKUP(Budgeted_Time[[#This Row],[Client]],Costing[],MATCH("Onboarding Minutes",Costing[#Headers],0),0)</f>
        <v>797.30000000000007</v>
      </c>
    </row>
    <row r="502" spans="1:4" x14ac:dyDescent="0.2">
      <c r="A502" s="10" t="s">
        <v>276</v>
      </c>
      <c r="B502" s="10" t="s">
        <v>145</v>
      </c>
      <c r="C502" s="28" t="str">
        <f>VLOOKUP(Budgeted_Time[[#This Row],[Client]],Costing[],MATCH("Payroll Team",Costing[#Headers],0),0)</f>
        <v>Kathryn</v>
      </c>
      <c r="D502" s="28">
        <f>VLOOKUP(Budgeted_Time[[#This Row],[Client]],Costing[],MATCH("Minutes/Pay Run",Costing[#Headers],0),0)</f>
        <v>25</v>
      </c>
    </row>
    <row r="503" spans="1:4" x14ac:dyDescent="0.2">
      <c r="A503" s="10" t="s">
        <v>276</v>
      </c>
      <c r="B503" s="10" t="s">
        <v>176</v>
      </c>
      <c r="C503" s="28" t="str">
        <f>VLOOKUP(Budgeted_Time[[#This Row],[Client]],Costing[],MATCH("Super Team",Costing[#Headers],0),0)</f>
        <v>Kathryn</v>
      </c>
      <c r="D503" s="28">
        <f>VLOOKUP(Budgeted_Time[[#This Row],[Client]],Costing[],MATCH("Minutes/Super",Costing[#Headers],0),0)</f>
        <v>20</v>
      </c>
    </row>
    <row r="504" spans="1:4" x14ac:dyDescent="0.2">
      <c r="A504" s="10" t="s">
        <v>276</v>
      </c>
      <c r="B504" s="10" t="s">
        <v>177</v>
      </c>
      <c r="C504" s="28" t="str">
        <f>VLOOKUP(Budgeted_Time[[#This Row],[Client]],Costing[],MATCH("Bookkeeping Team",Costing[#Headers],0),0)</f>
        <v>Kathryn</v>
      </c>
      <c r="D504" s="28">
        <f>VLOOKUP(Budgeted_Time[[#This Row],[Client]],Costing[],MATCH("Minutes/Activity",Costing[#Headers],0),0)</f>
        <v>442</v>
      </c>
    </row>
    <row r="505" spans="1:4" x14ac:dyDescent="0.2">
      <c r="A505" s="10" t="s">
        <v>276</v>
      </c>
      <c r="B505" s="10" t="s">
        <v>178</v>
      </c>
      <c r="C505" s="28" t="str">
        <f>VLOOKUP(Budgeted_Time[[#This Row],[Client]],Costing[],MATCH("Reporting Team",Costing[#Headers],0),0)</f>
        <v>Laurence</v>
      </c>
      <c r="D505" s="28">
        <f>VLOOKUP(Budgeted_Time[[#This Row],[Client]],Costing[],MATCH("Minutes/Report",Costing[#Headers],0),0)</f>
        <v>20</v>
      </c>
    </row>
    <row r="506" spans="1:4" x14ac:dyDescent="0.2">
      <c r="A506" s="10" t="s">
        <v>276</v>
      </c>
      <c r="B506" s="10" t="s">
        <v>179</v>
      </c>
      <c r="C506" s="28" t="str">
        <f>VLOOKUP(Budgeted_Time[[#This Row],[Client]],Costing[],MATCH("BAS 1 Team",Costing[#Headers],0),0)</f>
        <v>Kathryn</v>
      </c>
      <c r="D506" s="28">
        <f>VLOOKUP(Budgeted_Time[[#This Row],[Client]],Costing[],MATCH("Minutes/BAS 1",Costing[#Headers],0),0)</f>
        <v>60</v>
      </c>
    </row>
    <row r="507" spans="1:4" x14ac:dyDescent="0.2">
      <c r="A507" s="10" t="s">
        <v>276</v>
      </c>
      <c r="B507" s="10" t="s">
        <v>180</v>
      </c>
      <c r="C507" s="28" t="str">
        <f>VLOOKUP(Budgeted_Time[[#This Row],[Client]],Costing[],MATCH("BAS 2 Team",Costing[#Headers],0),0)</f>
        <v>Rachel</v>
      </c>
      <c r="D507" s="28">
        <f>VLOOKUP(Budgeted_Time[[#This Row],[Client]],Costing[],MATCH("Minutes/BAS 2",Costing[#Headers],0),0)</f>
        <v>15</v>
      </c>
    </row>
    <row r="508" spans="1:4" x14ac:dyDescent="0.2">
      <c r="A508" s="10" t="s">
        <v>276</v>
      </c>
      <c r="B508" s="10" t="s">
        <v>181</v>
      </c>
      <c r="C508" s="28">
        <f>VLOOKUP(Budgeted_Time[[#This Row],[Client]],Costing[],MATCH("IAS Team",Costing[#Headers],0),0)</f>
        <v>0</v>
      </c>
      <c r="D508" s="28">
        <f>VLOOKUP(Budgeted_Time[[#This Row],[Client]],Costing[],MATCH("Minutes/IAS",Costing[#Headers],0),0)</f>
        <v>0</v>
      </c>
    </row>
    <row r="509" spans="1:4" x14ac:dyDescent="0.2">
      <c r="A509" s="10" t="s">
        <v>276</v>
      </c>
      <c r="B509" s="10" t="s">
        <v>261</v>
      </c>
      <c r="C509" s="28" t="str">
        <f>VLOOKUP(Budgeted_Time[[#This Row],[Client]],Costing[],MATCH("EOFY Team 1",Costing[#Headers],0),0)</f>
        <v>Laurence</v>
      </c>
      <c r="D509" s="28">
        <f>VLOOKUP(Budgeted_Time[[#This Row],[Client]],Costing[],MATCH("Time Min 1",Costing[#Headers],0),0)</f>
        <v>120</v>
      </c>
    </row>
    <row r="510" spans="1:4" x14ac:dyDescent="0.2">
      <c r="A510" s="10" t="s">
        <v>276</v>
      </c>
      <c r="B510" s="10" t="s">
        <v>279</v>
      </c>
      <c r="C510" s="28" t="str">
        <f>VLOOKUP(Budgeted_Time[[#This Row],[Client]],Costing[],MATCH("EOFY Team 2",Costing[#Headers],0),0)</f>
        <v>Kathryn</v>
      </c>
      <c r="D510" s="28">
        <f>VLOOKUP(Budgeted_Time[[#This Row],[Client]],Costing[],MATCH("Time Min 2",Costing[#Headers],0),0)</f>
        <v>120</v>
      </c>
    </row>
    <row r="511" spans="1:4" x14ac:dyDescent="0.2">
      <c r="A511" s="10" t="s">
        <v>276</v>
      </c>
      <c r="B511" s="10" t="s">
        <v>294</v>
      </c>
      <c r="C511" s="28" t="str">
        <f>VLOOKUP(Budgeted_Time[[#This Row],[Client]],Costing[],MATCH("Onboarding Team",Costing[#Headers],0),0)</f>
        <v>Laurence</v>
      </c>
      <c r="D511" s="28">
        <f>VLOOKUP(Budgeted_Time[[#This Row],[Client]],Costing[],MATCH("Onboarding Minutes",Costing[#Headers],0),0)</f>
        <v>2629.9</v>
      </c>
    </row>
    <row r="512" spans="1:4" x14ac:dyDescent="0.2">
      <c r="A512" s="10" t="s">
        <v>55</v>
      </c>
      <c r="B512" s="10" t="s">
        <v>145</v>
      </c>
      <c r="C512" s="28">
        <f>VLOOKUP(Budgeted_Time[[#This Row],[Client]],Costing[],MATCH("Payroll Team",Costing[#Headers],0),0)</f>
        <v>0</v>
      </c>
      <c r="D512" s="28">
        <f>VLOOKUP(Budgeted_Time[[#This Row],[Client]],Costing[],MATCH("Minutes/Pay Run",Costing[#Headers],0),0)</f>
        <v>0</v>
      </c>
    </row>
    <row r="513" spans="1:4" x14ac:dyDescent="0.2">
      <c r="A513" s="10" t="s">
        <v>55</v>
      </c>
      <c r="B513" s="10" t="s">
        <v>176</v>
      </c>
      <c r="C513" s="28" t="str">
        <f>VLOOKUP(Budgeted_Time[[#This Row],[Client]],Costing[],MATCH("Super Team",Costing[#Headers],0),0)</f>
        <v>Kathleen</v>
      </c>
      <c r="D513" s="28">
        <f>VLOOKUP(Budgeted_Time[[#This Row],[Client]],Costing[],MATCH("Minutes/Super",Costing[#Headers],0),0)</f>
        <v>15</v>
      </c>
    </row>
    <row r="514" spans="1:4" x14ac:dyDescent="0.2">
      <c r="A514" s="10" t="s">
        <v>55</v>
      </c>
      <c r="B514" s="10" t="s">
        <v>177</v>
      </c>
      <c r="C514" s="28" t="str">
        <f>VLOOKUP(Budgeted_Time[[#This Row],[Client]],Costing[],MATCH("Bookkeeping Team",Costing[#Headers],0),0)</f>
        <v>Kathleen</v>
      </c>
      <c r="D514" s="28">
        <f>VLOOKUP(Budgeted_Time[[#This Row],[Client]],Costing[],MATCH("Minutes/Activity",Costing[#Headers],0),0)</f>
        <v>60</v>
      </c>
    </row>
    <row r="515" spans="1:4" x14ac:dyDescent="0.2">
      <c r="A515" s="10" t="s">
        <v>55</v>
      </c>
      <c r="B515" s="10" t="s">
        <v>178</v>
      </c>
      <c r="C515" s="28" t="str">
        <f>VLOOKUP(Budgeted_Time[[#This Row],[Client]],Costing[],MATCH("Reporting Team",Costing[#Headers],0),0)</f>
        <v>Kim</v>
      </c>
      <c r="D515" s="28">
        <f>VLOOKUP(Budgeted_Time[[#This Row],[Client]],Costing[],MATCH("Minutes/Report",Costing[#Headers],0),0)</f>
        <v>60</v>
      </c>
    </row>
    <row r="516" spans="1:4" x14ac:dyDescent="0.2">
      <c r="A516" s="10" t="s">
        <v>55</v>
      </c>
      <c r="B516" s="10" t="s">
        <v>179</v>
      </c>
      <c r="C516" s="28" t="str">
        <f>VLOOKUP(Budgeted_Time[[#This Row],[Client]],Costing[],MATCH("BAS 1 Team",Costing[#Headers],0),0)</f>
        <v>Kathleen</v>
      </c>
      <c r="D516" s="28">
        <f>VLOOKUP(Budgeted_Time[[#This Row],[Client]],Costing[],MATCH("Minutes/BAS 1",Costing[#Headers],0),0)</f>
        <v>60</v>
      </c>
    </row>
    <row r="517" spans="1:4" x14ac:dyDescent="0.2">
      <c r="A517" s="10" t="s">
        <v>55</v>
      </c>
      <c r="B517" s="10" t="s">
        <v>180</v>
      </c>
      <c r="C517" s="28" t="str">
        <f>VLOOKUP(Budgeted_Time[[#This Row],[Client]],Costing[],MATCH("BAS 2 Team",Costing[#Headers],0),0)</f>
        <v>Rachel</v>
      </c>
      <c r="D517" s="28">
        <f>VLOOKUP(Budgeted_Time[[#This Row],[Client]],Costing[],MATCH("Minutes/BAS 2",Costing[#Headers],0),0)</f>
        <v>15</v>
      </c>
    </row>
    <row r="518" spans="1:4" x14ac:dyDescent="0.2">
      <c r="A518" s="10" t="s">
        <v>55</v>
      </c>
      <c r="B518" s="10" t="s">
        <v>181</v>
      </c>
      <c r="C518" s="28">
        <f>VLOOKUP(Budgeted_Time[[#This Row],[Client]],Costing[],MATCH("IAS Team",Costing[#Headers],0),0)</f>
        <v>0</v>
      </c>
      <c r="D518" s="28">
        <f>VLOOKUP(Budgeted_Time[[#This Row],[Client]],Costing[],MATCH("Minutes/IAS",Costing[#Headers],0),0)</f>
        <v>0</v>
      </c>
    </row>
    <row r="519" spans="1:4" x14ac:dyDescent="0.2">
      <c r="A519" s="10" t="s">
        <v>55</v>
      </c>
      <c r="B519" s="10" t="s">
        <v>261</v>
      </c>
      <c r="C519" s="28" t="str">
        <f>VLOOKUP(Budgeted_Time[[#This Row],[Client]],Costing[],MATCH("EOFY Team 1",Costing[#Headers],0),0)</f>
        <v>Kim</v>
      </c>
      <c r="D519" s="28">
        <f>VLOOKUP(Budgeted_Time[[#This Row],[Client]],Costing[],MATCH("Time Min 1",Costing[#Headers],0),0)</f>
        <v>120</v>
      </c>
    </row>
    <row r="520" spans="1:4" x14ac:dyDescent="0.2">
      <c r="A520" s="10" t="s">
        <v>55</v>
      </c>
      <c r="B520" s="10" t="s">
        <v>279</v>
      </c>
      <c r="C520" s="28" t="str">
        <f>VLOOKUP(Budgeted_Time[[#This Row],[Client]],Costing[],MATCH("EOFY Team 2",Costing[#Headers],0),0)</f>
        <v>Kathleen</v>
      </c>
      <c r="D520" s="28">
        <f>VLOOKUP(Budgeted_Time[[#This Row],[Client]],Costing[],MATCH("Time Min 2",Costing[#Headers],0),0)</f>
        <v>120</v>
      </c>
    </row>
    <row r="521" spans="1:4" x14ac:dyDescent="0.2">
      <c r="A521" s="10" t="s">
        <v>55</v>
      </c>
      <c r="B521" s="10" t="s">
        <v>294</v>
      </c>
      <c r="C521" s="28" t="str">
        <f>VLOOKUP(Budgeted_Time[[#This Row],[Client]],Costing[],MATCH("Onboarding Team",Costing[#Headers],0),0)</f>
        <v>Kim</v>
      </c>
      <c r="D521" s="28">
        <f>VLOOKUP(Budgeted_Time[[#This Row],[Client]],Costing[],MATCH("Onboarding Minutes",Costing[#Headers],0),0)</f>
        <v>357</v>
      </c>
    </row>
    <row r="522" spans="1:4" x14ac:dyDescent="0.2">
      <c r="A522" s="10" t="s">
        <v>57</v>
      </c>
      <c r="B522" s="10" t="s">
        <v>145</v>
      </c>
      <c r="C522" s="28">
        <f>VLOOKUP(Budgeted_Time[[#This Row],[Client]],Costing[],MATCH("Payroll Team",Costing[#Headers],0),0)</f>
        <v>0</v>
      </c>
      <c r="D522" s="28">
        <f>VLOOKUP(Budgeted_Time[[#This Row],[Client]],Costing[],MATCH("Minutes/Pay Run",Costing[#Headers],0),0)</f>
        <v>0</v>
      </c>
    </row>
    <row r="523" spans="1:4" x14ac:dyDescent="0.2">
      <c r="A523" s="10" t="s">
        <v>57</v>
      </c>
      <c r="B523" s="10" t="s">
        <v>176</v>
      </c>
      <c r="C523" s="28">
        <f>VLOOKUP(Budgeted_Time[[#This Row],[Client]],Costing[],MATCH("Super Team",Costing[#Headers],0),0)</f>
        <v>0</v>
      </c>
      <c r="D523" s="28">
        <f>VLOOKUP(Budgeted_Time[[#This Row],[Client]],Costing[],MATCH("Minutes/Super",Costing[#Headers],0),0)</f>
        <v>0</v>
      </c>
    </row>
    <row r="524" spans="1:4" x14ac:dyDescent="0.2">
      <c r="A524" s="10" t="s">
        <v>57</v>
      </c>
      <c r="B524" s="10" t="s">
        <v>177</v>
      </c>
      <c r="C524" s="28" t="str">
        <f>VLOOKUP(Budgeted_Time[[#This Row],[Client]],Costing[],MATCH("Bookkeeping Team",Costing[#Headers],0),0)</f>
        <v>Rachel</v>
      </c>
      <c r="D524" s="28">
        <f>VLOOKUP(Budgeted_Time[[#This Row],[Client]],Costing[],MATCH("Minutes/Activity",Costing[#Headers],0),0)</f>
        <v>60</v>
      </c>
    </row>
    <row r="525" spans="1:4" x14ac:dyDescent="0.2">
      <c r="A525" s="10" t="s">
        <v>57</v>
      </c>
      <c r="B525" s="10" t="s">
        <v>178</v>
      </c>
      <c r="C525" s="28" t="str">
        <f>VLOOKUP(Budgeted_Time[[#This Row],[Client]],Costing[],MATCH("Reporting Team",Costing[#Headers],0),0)</f>
        <v>Laurence</v>
      </c>
      <c r="D525" s="28">
        <f>VLOOKUP(Budgeted_Time[[#This Row],[Client]],Costing[],MATCH("Minutes/Report",Costing[#Headers],0),0)</f>
        <v>600</v>
      </c>
    </row>
    <row r="526" spans="1:4" x14ac:dyDescent="0.2">
      <c r="A526" s="10" t="s">
        <v>57</v>
      </c>
      <c r="B526" s="10" t="s">
        <v>179</v>
      </c>
      <c r="C526" s="28" t="str">
        <f>VLOOKUP(Budgeted_Time[[#This Row],[Client]],Costing[],MATCH("BAS 1 Team",Costing[#Headers],0),0)</f>
        <v>Rachel</v>
      </c>
      <c r="D526" s="28">
        <f>VLOOKUP(Budgeted_Time[[#This Row],[Client]],Costing[],MATCH("Minutes/BAS 1",Costing[#Headers],0),0)</f>
        <v>60</v>
      </c>
    </row>
    <row r="527" spans="1:4" x14ac:dyDescent="0.2">
      <c r="A527" s="10" t="s">
        <v>57</v>
      </c>
      <c r="B527" s="10" t="s">
        <v>180</v>
      </c>
      <c r="C527" s="28" t="str">
        <f>VLOOKUP(Budgeted_Time[[#This Row],[Client]],Costing[],MATCH("BAS 2 Team",Costing[#Headers],0),0)</f>
        <v>Rachel</v>
      </c>
      <c r="D527" s="28">
        <f>VLOOKUP(Budgeted_Time[[#This Row],[Client]],Costing[],MATCH("Minutes/BAS 2",Costing[#Headers],0),0)</f>
        <v>15</v>
      </c>
    </row>
    <row r="528" spans="1:4" x14ac:dyDescent="0.2">
      <c r="A528" s="10" t="s">
        <v>57</v>
      </c>
      <c r="B528" s="10" t="s">
        <v>181</v>
      </c>
      <c r="C528" s="28" t="str">
        <f>VLOOKUP(Budgeted_Time[[#This Row],[Client]],Costing[],MATCH("IAS Team",Costing[#Headers],0),0)</f>
        <v>Rachel</v>
      </c>
      <c r="D528" s="28">
        <f>VLOOKUP(Budgeted_Time[[#This Row],[Client]],Costing[],MATCH("Minutes/IAS",Costing[#Headers],0),0)</f>
        <v>30</v>
      </c>
    </row>
    <row r="529" spans="1:4" x14ac:dyDescent="0.2">
      <c r="A529" s="10" t="s">
        <v>57</v>
      </c>
      <c r="B529" s="10" t="s">
        <v>261</v>
      </c>
      <c r="C529" s="28" t="str">
        <f>VLOOKUP(Budgeted_Time[[#This Row],[Client]],Costing[],MATCH("EOFY Team 1",Costing[#Headers],0),0)</f>
        <v>Laurence</v>
      </c>
      <c r="D529" s="28">
        <f>VLOOKUP(Budgeted_Time[[#This Row],[Client]],Costing[],MATCH("Time Min 1",Costing[#Headers],0),0)</f>
        <v>150</v>
      </c>
    </row>
    <row r="530" spans="1:4" x14ac:dyDescent="0.2">
      <c r="A530" s="10" t="s">
        <v>57</v>
      </c>
      <c r="B530" s="10" t="s">
        <v>279</v>
      </c>
      <c r="C530" s="28" t="str">
        <f>VLOOKUP(Budgeted_Time[[#This Row],[Client]],Costing[],MATCH("EOFY Team 2",Costing[#Headers],0),0)</f>
        <v>Rachel</v>
      </c>
      <c r="D530" s="28">
        <f>VLOOKUP(Budgeted_Time[[#This Row],[Client]],Costing[],MATCH("Time Min 2",Costing[#Headers],0),0)</f>
        <v>150</v>
      </c>
    </row>
    <row r="531" spans="1:4" x14ac:dyDescent="0.2">
      <c r="A531" s="10" t="s">
        <v>57</v>
      </c>
      <c r="B531" s="10" t="s">
        <v>294</v>
      </c>
      <c r="C531" s="28" t="str">
        <f>VLOOKUP(Budgeted_Time[[#This Row],[Client]],Costing[],MATCH("Onboarding Team",Costing[#Headers],0),0)</f>
        <v>Laurence</v>
      </c>
      <c r="D531" s="28">
        <f>VLOOKUP(Budgeted_Time[[#This Row],[Client]],Costing[],MATCH("Onboarding Minutes",Costing[#Headers],0),0)</f>
        <v>357</v>
      </c>
    </row>
    <row r="532" spans="1:4" x14ac:dyDescent="0.2">
      <c r="A532" s="10" t="s">
        <v>58</v>
      </c>
      <c r="B532" s="10" t="s">
        <v>145</v>
      </c>
      <c r="C532" s="28">
        <f>VLOOKUP(Budgeted_Time[[#This Row],[Client]],Costing[],MATCH("Payroll Team",Costing[#Headers],0),0)</f>
        <v>0</v>
      </c>
      <c r="D532" s="28">
        <f>VLOOKUP(Budgeted_Time[[#This Row],[Client]],Costing[],MATCH("Minutes/Pay Run",Costing[#Headers],0),0)</f>
        <v>0</v>
      </c>
    </row>
    <row r="533" spans="1:4" x14ac:dyDescent="0.2">
      <c r="A533" s="10" t="s">
        <v>58</v>
      </c>
      <c r="B533" s="10" t="s">
        <v>176</v>
      </c>
      <c r="C533" s="28" t="str">
        <f>VLOOKUP(Budgeted_Time[[#This Row],[Client]],Costing[],MATCH("Super Team",Costing[#Headers],0),0)</f>
        <v>Rachel</v>
      </c>
      <c r="D533" s="28">
        <f>VLOOKUP(Budgeted_Time[[#This Row],[Client]],Costing[],MATCH("Minutes/Super",Costing[#Headers],0),0)</f>
        <v>15</v>
      </c>
    </row>
    <row r="534" spans="1:4" x14ac:dyDescent="0.2">
      <c r="A534" s="10" t="s">
        <v>58</v>
      </c>
      <c r="B534" s="10" t="s">
        <v>177</v>
      </c>
      <c r="C534" s="28" t="str">
        <f>VLOOKUP(Budgeted_Time[[#This Row],[Client]],Costing[],MATCH("Bookkeeping Team",Costing[#Headers],0),0)</f>
        <v>Rachel</v>
      </c>
      <c r="D534" s="28">
        <f>VLOOKUP(Budgeted_Time[[#This Row],[Client]],Costing[],MATCH("Minutes/Activity",Costing[#Headers],0),0)</f>
        <v>158</v>
      </c>
    </row>
    <row r="535" spans="1:4" x14ac:dyDescent="0.2">
      <c r="A535" s="10" t="s">
        <v>58</v>
      </c>
      <c r="B535" s="10" t="s">
        <v>178</v>
      </c>
      <c r="C535" s="28" t="str">
        <f>VLOOKUP(Budgeted_Time[[#This Row],[Client]],Costing[],MATCH("Reporting Team",Costing[#Headers],0),0)</f>
        <v>Laurence</v>
      </c>
      <c r="D535" s="28">
        <f>VLOOKUP(Budgeted_Time[[#This Row],[Client]],Costing[],MATCH("Minutes/Report",Costing[#Headers],0),0)</f>
        <v>10</v>
      </c>
    </row>
    <row r="536" spans="1:4" x14ac:dyDescent="0.2">
      <c r="A536" s="10" t="s">
        <v>58</v>
      </c>
      <c r="B536" s="10" t="s">
        <v>179</v>
      </c>
      <c r="C536" s="28" t="str">
        <f>VLOOKUP(Budgeted_Time[[#This Row],[Client]],Costing[],MATCH("BAS 1 Team",Costing[#Headers],0),0)</f>
        <v>Rachel</v>
      </c>
      <c r="D536" s="28">
        <f>VLOOKUP(Budgeted_Time[[#This Row],[Client]],Costing[],MATCH("Minutes/BAS 1",Costing[#Headers],0),0)</f>
        <v>60</v>
      </c>
    </row>
    <row r="537" spans="1:4" x14ac:dyDescent="0.2">
      <c r="A537" s="10" t="s">
        <v>58</v>
      </c>
      <c r="B537" s="10" t="s">
        <v>180</v>
      </c>
      <c r="C537" s="28" t="str">
        <f>VLOOKUP(Budgeted_Time[[#This Row],[Client]],Costing[],MATCH("BAS 2 Team",Costing[#Headers],0),0)</f>
        <v>Rachel</v>
      </c>
      <c r="D537" s="28">
        <f>VLOOKUP(Budgeted_Time[[#This Row],[Client]],Costing[],MATCH("Minutes/BAS 2",Costing[#Headers],0),0)</f>
        <v>15</v>
      </c>
    </row>
    <row r="538" spans="1:4" x14ac:dyDescent="0.2">
      <c r="A538" s="10" t="s">
        <v>58</v>
      </c>
      <c r="B538" s="10" t="s">
        <v>181</v>
      </c>
      <c r="C538" s="28">
        <f>VLOOKUP(Budgeted_Time[[#This Row],[Client]],Costing[],MATCH("IAS Team",Costing[#Headers],0),0)</f>
        <v>0</v>
      </c>
      <c r="D538" s="28">
        <f>VLOOKUP(Budgeted_Time[[#This Row],[Client]],Costing[],MATCH("Minutes/IAS",Costing[#Headers],0),0)</f>
        <v>0</v>
      </c>
    </row>
    <row r="539" spans="1:4" x14ac:dyDescent="0.2">
      <c r="A539" s="10" t="s">
        <v>58</v>
      </c>
      <c r="B539" s="10" t="s">
        <v>261</v>
      </c>
      <c r="C539" s="28" t="str">
        <f>VLOOKUP(Budgeted_Time[[#This Row],[Client]],Costing[],MATCH("EOFY Team 1",Costing[#Headers],0),0)</f>
        <v>Rachel</v>
      </c>
      <c r="D539" s="28">
        <f>VLOOKUP(Budgeted_Time[[#This Row],[Client]],Costing[],MATCH("Time Min 1",Costing[#Headers],0),0)</f>
        <v>120</v>
      </c>
    </row>
    <row r="540" spans="1:4" x14ac:dyDescent="0.2">
      <c r="A540" s="10" t="s">
        <v>58</v>
      </c>
      <c r="B540" s="10" t="s">
        <v>279</v>
      </c>
      <c r="C540" s="28" t="str">
        <f>VLOOKUP(Budgeted_Time[[#This Row],[Client]],Costing[],MATCH("EOFY Team 2",Costing[#Headers],0),0)</f>
        <v>Laurence</v>
      </c>
      <c r="D540" s="28">
        <f>VLOOKUP(Budgeted_Time[[#This Row],[Client]],Costing[],MATCH("Time Min 2",Costing[#Headers],0),0)</f>
        <v>60</v>
      </c>
    </row>
    <row r="541" spans="1:4" x14ac:dyDescent="0.2">
      <c r="A541" s="10" t="s">
        <v>58</v>
      </c>
      <c r="B541" s="10" t="s">
        <v>294</v>
      </c>
      <c r="C541" s="28" t="str">
        <f>VLOOKUP(Budgeted_Time[[#This Row],[Client]],Costing[],MATCH("Onboarding Team",Costing[#Headers],0),0)</f>
        <v>Laurence</v>
      </c>
      <c r="D541" s="28">
        <f>VLOOKUP(Budgeted_Time[[#This Row],[Client]],Costing[],MATCH("Onboarding Minutes",Costing[#Headers],0),0)</f>
        <v>940.1</v>
      </c>
    </row>
    <row r="542" spans="1:4" x14ac:dyDescent="0.2">
      <c r="A542" s="10" t="s">
        <v>60</v>
      </c>
      <c r="B542" s="10" t="s">
        <v>145</v>
      </c>
      <c r="C542" s="28" t="str">
        <f>VLOOKUP(Budgeted_Time[[#This Row],[Client]],Costing[],MATCH("Payroll Team",Costing[#Headers],0),0)</f>
        <v>Kathleen</v>
      </c>
      <c r="D542" s="28">
        <f>VLOOKUP(Budgeted_Time[[#This Row],[Client]],Costing[],MATCH("Minutes/Pay Run",Costing[#Headers],0),0)</f>
        <v>15</v>
      </c>
    </row>
    <row r="543" spans="1:4" x14ac:dyDescent="0.2">
      <c r="A543" s="10" t="s">
        <v>60</v>
      </c>
      <c r="B543" s="10" t="s">
        <v>176</v>
      </c>
      <c r="C543" s="28" t="str">
        <f>VLOOKUP(Budgeted_Time[[#This Row],[Client]],Costing[],MATCH("Super Team",Costing[#Headers],0),0)</f>
        <v>Kathleen</v>
      </c>
      <c r="D543" s="28">
        <f>VLOOKUP(Budgeted_Time[[#This Row],[Client]],Costing[],MATCH("Minutes/Super",Costing[#Headers],0),0)</f>
        <v>10</v>
      </c>
    </row>
    <row r="544" spans="1:4" x14ac:dyDescent="0.2">
      <c r="A544" s="10" t="s">
        <v>60</v>
      </c>
      <c r="B544" s="10" t="s">
        <v>177</v>
      </c>
      <c r="C544" s="28" t="str">
        <f>VLOOKUP(Budgeted_Time[[#This Row],[Client]],Costing[],MATCH("Bookkeeping Team",Costing[#Headers],0),0)</f>
        <v>Kathleen</v>
      </c>
      <c r="D544" s="28">
        <f>VLOOKUP(Budgeted_Time[[#This Row],[Client]],Costing[],MATCH("Minutes/Activity",Costing[#Headers],0),0)</f>
        <v>172</v>
      </c>
    </row>
    <row r="545" spans="1:4" x14ac:dyDescent="0.2">
      <c r="A545" s="10" t="s">
        <v>60</v>
      </c>
      <c r="B545" s="10" t="s">
        <v>178</v>
      </c>
      <c r="C545" s="28" t="str">
        <f>VLOOKUP(Budgeted_Time[[#This Row],[Client]],Costing[],MATCH("Reporting Team",Costing[#Headers],0),0)</f>
        <v>Laurence</v>
      </c>
      <c r="D545" s="28">
        <f>VLOOKUP(Budgeted_Time[[#This Row],[Client]],Costing[],MATCH("Minutes/Report",Costing[#Headers],0),0)</f>
        <v>30</v>
      </c>
    </row>
    <row r="546" spans="1:4" x14ac:dyDescent="0.2">
      <c r="A546" s="10" t="s">
        <v>60</v>
      </c>
      <c r="B546" s="10" t="s">
        <v>179</v>
      </c>
      <c r="C546" s="28" t="str">
        <f>VLOOKUP(Budgeted_Time[[#This Row],[Client]],Costing[],MATCH("BAS 1 Team",Costing[#Headers],0),0)</f>
        <v>Kathleen</v>
      </c>
      <c r="D546" s="28">
        <f>VLOOKUP(Budgeted_Time[[#This Row],[Client]],Costing[],MATCH("Minutes/BAS 1",Costing[#Headers],0),0)</f>
        <v>20</v>
      </c>
    </row>
    <row r="547" spans="1:4" x14ac:dyDescent="0.2">
      <c r="A547" s="10" t="s">
        <v>60</v>
      </c>
      <c r="B547" s="10" t="s">
        <v>180</v>
      </c>
      <c r="C547" s="28" t="str">
        <f>VLOOKUP(Budgeted_Time[[#This Row],[Client]],Costing[],MATCH("BAS 2 Team",Costing[#Headers],0),0)</f>
        <v>Rachel</v>
      </c>
      <c r="D547" s="28">
        <f>VLOOKUP(Budgeted_Time[[#This Row],[Client]],Costing[],MATCH("Minutes/BAS 2",Costing[#Headers],0),0)</f>
        <v>5</v>
      </c>
    </row>
    <row r="548" spans="1:4" x14ac:dyDescent="0.2">
      <c r="A548" s="10" t="s">
        <v>60</v>
      </c>
      <c r="B548" s="10" t="s">
        <v>181</v>
      </c>
      <c r="C548" s="28" t="str">
        <f>VLOOKUP(Budgeted_Time[[#This Row],[Client]],Costing[],MATCH("IAS Team",Costing[#Headers],0),0)</f>
        <v>Kathleen</v>
      </c>
      <c r="D548" s="28">
        <f>VLOOKUP(Budgeted_Time[[#This Row],[Client]],Costing[],MATCH("Minutes/IAS",Costing[#Headers],0),0)</f>
        <v>30</v>
      </c>
    </row>
    <row r="549" spans="1:4" x14ac:dyDescent="0.2">
      <c r="A549" s="10" t="s">
        <v>60</v>
      </c>
      <c r="B549" s="10" t="s">
        <v>261</v>
      </c>
      <c r="C549" s="28" t="str">
        <f>VLOOKUP(Budgeted_Time[[#This Row],[Client]],Costing[],MATCH("EOFY Team 1",Costing[#Headers],0),0)</f>
        <v>Laurence</v>
      </c>
      <c r="D549" s="28">
        <f>VLOOKUP(Budgeted_Time[[#This Row],[Client]],Costing[],MATCH("Time Min 1",Costing[#Headers],0),0)</f>
        <v>120</v>
      </c>
    </row>
    <row r="550" spans="1:4" x14ac:dyDescent="0.2">
      <c r="A550" s="10" t="s">
        <v>60</v>
      </c>
      <c r="B550" s="10" t="s">
        <v>279</v>
      </c>
      <c r="C550" s="28" t="str">
        <f>VLOOKUP(Budgeted_Time[[#This Row],[Client]],Costing[],MATCH("EOFY Team 2",Costing[#Headers],0),0)</f>
        <v>Kathleen</v>
      </c>
      <c r="D550" s="28">
        <f>VLOOKUP(Budgeted_Time[[#This Row],[Client]],Costing[],MATCH("Time Min 2",Costing[#Headers],0),0)</f>
        <v>150</v>
      </c>
    </row>
    <row r="551" spans="1:4" x14ac:dyDescent="0.2">
      <c r="A551" s="10" t="s">
        <v>60</v>
      </c>
      <c r="B551" s="10" t="s">
        <v>294</v>
      </c>
      <c r="C551" s="28" t="str">
        <f>VLOOKUP(Budgeted_Time[[#This Row],[Client]],Costing[],MATCH("Onboarding Team",Costing[#Headers],0),0)</f>
        <v>Laurence</v>
      </c>
      <c r="D551" s="28">
        <f>VLOOKUP(Budgeted_Time[[#This Row],[Client]],Costing[],MATCH("Onboarding Minutes",Costing[#Headers],0),0)</f>
        <v>1023.4</v>
      </c>
    </row>
    <row r="552" spans="1:4" x14ac:dyDescent="0.2">
      <c r="A552" s="10" t="s">
        <v>274</v>
      </c>
      <c r="B552" s="10" t="s">
        <v>145</v>
      </c>
      <c r="C552" s="28" t="str">
        <f>VLOOKUP(Budgeted_Time[[#This Row],[Client]],Costing[],MATCH("Payroll Team",Costing[#Headers],0),0)</f>
        <v>Joanna</v>
      </c>
      <c r="D552" s="28">
        <f>VLOOKUP(Budgeted_Time[[#This Row],[Client]],Costing[],MATCH("Minutes/Pay Run",Costing[#Headers],0),0)</f>
        <v>20</v>
      </c>
    </row>
    <row r="553" spans="1:4" x14ac:dyDescent="0.2">
      <c r="A553" s="10" t="s">
        <v>274</v>
      </c>
      <c r="B553" s="10" t="s">
        <v>176</v>
      </c>
      <c r="C553" s="28" t="str">
        <f>VLOOKUP(Budgeted_Time[[#This Row],[Client]],Costing[],MATCH("Super Team",Costing[#Headers],0),0)</f>
        <v>Joanna</v>
      </c>
      <c r="D553" s="28">
        <f>VLOOKUP(Budgeted_Time[[#This Row],[Client]],Costing[],MATCH("Minutes/Super",Costing[#Headers],0),0)</f>
        <v>15</v>
      </c>
    </row>
    <row r="554" spans="1:4" x14ac:dyDescent="0.2">
      <c r="A554" s="10" t="s">
        <v>274</v>
      </c>
      <c r="B554" s="10" t="s">
        <v>177</v>
      </c>
      <c r="C554" s="28" t="str">
        <f>VLOOKUP(Budgeted_Time[[#This Row],[Client]],Costing[],MATCH("Bookkeeping Team",Costing[#Headers],0),0)</f>
        <v>Joanna</v>
      </c>
      <c r="D554" s="28">
        <f>VLOOKUP(Budgeted_Time[[#This Row],[Client]],Costing[],MATCH("Minutes/Activity",Costing[#Headers],0),0)</f>
        <v>200</v>
      </c>
    </row>
    <row r="555" spans="1:4" x14ac:dyDescent="0.2">
      <c r="A555" s="10" t="s">
        <v>274</v>
      </c>
      <c r="B555" s="10" t="s">
        <v>178</v>
      </c>
      <c r="C555" s="28" t="str">
        <f>VLOOKUP(Budgeted_Time[[#This Row],[Client]],Costing[],MATCH("Reporting Team",Costing[#Headers],0),0)</f>
        <v>Laurence</v>
      </c>
      <c r="D555" s="28">
        <f>VLOOKUP(Budgeted_Time[[#This Row],[Client]],Costing[],MATCH("Minutes/Report",Costing[#Headers],0),0)</f>
        <v>20</v>
      </c>
    </row>
    <row r="556" spans="1:4" x14ac:dyDescent="0.2">
      <c r="A556" s="10" t="s">
        <v>274</v>
      </c>
      <c r="B556" s="10" t="s">
        <v>179</v>
      </c>
      <c r="C556" s="28" t="str">
        <f>VLOOKUP(Budgeted_Time[[#This Row],[Client]],Costing[],MATCH("BAS 1 Team",Costing[#Headers],0),0)</f>
        <v>Joanna</v>
      </c>
      <c r="D556" s="28">
        <f>VLOOKUP(Budgeted_Time[[#This Row],[Client]],Costing[],MATCH("Minutes/BAS 1",Costing[#Headers],0),0)</f>
        <v>60</v>
      </c>
    </row>
    <row r="557" spans="1:4" x14ac:dyDescent="0.2">
      <c r="A557" s="10" t="s">
        <v>274</v>
      </c>
      <c r="B557" s="10" t="s">
        <v>180</v>
      </c>
      <c r="C557" s="28" t="str">
        <f>VLOOKUP(Budgeted_Time[[#This Row],[Client]],Costing[],MATCH("BAS 2 Team",Costing[#Headers],0),0)</f>
        <v>Rachel</v>
      </c>
      <c r="D557" s="28">
        <f>VLOOKUP(Budgeted_Time[[#This Row],[Client]],Costing[],MATCH("Minutes/BAS 2",Costing[#Headers],0),0)</f>
        <v>15</v>
      </c>
    </row>
    <row r="558" spans="1:4" x14ac:dyDescent="0.2">
      <c r="A558" s="10" t="s">
        <v>274</v>
      </c>
      <c r="B558" s="10" t="s">
        <v>181</v>
      </c>
      <c r="C558" s="28">
        <f>VLOOKUP(Budgeted_Time[[#This Row],[Client]],Costing[],MATCH("IAS Team",Costing[#Headers],0),0)</f>
        <v>0</v>
      </c>
      <c r="D558" s="28">
        <f>VLOOKUP(Budgeted_Time[[#This Row],[Client]],Costing[],MATCH("Minutes/IAS",Costing[#Headers],0),0)</f>
        <v>0</v>
      </c>
    </row>
    <row r="559" spans="1:4" x14ac:dyDescent="0.2">
      <c r="A559" s="10" t="s">
        <v>274</v>
      </c>
      <c r="B559" s="10" t="s">
        <v>261</v>
      </c>
      <c r="C559" s="28" t="str">
        <f>VLOOKUP(Budgeted_Time[[#This Row],[Client]],Costing[],MATCH("EOFY Team 1",Costing[#Headers],0),0)</f>
        <v>Laurence</v>
      </c>
      <c r="D559" s="28">
        <f>VLOOKUP(Budgeted_Time[[#This Row],[Client]],Costing[],MATCH("Time Min 1",Costing[#Headers],0),0)</f>
        <v>120</v>
      </c>
    </row>
    <row r="560" spans="1:4" x14ac:dyDescent="0.2">
      <c r="A560" s="10" t="s">
        <v>274</v>
      </c>
      <c r="B560" s="10" t="s">
        <v>279</v>
      </c>
      <c r="C560" s="28" t="str">
        <f>VLOOKUP(Budgeted_Time[[#This Row],[Client]],Costing[],MATCH("EOFY Team 2",Costing[#Headers],0),0)</f>
        <v>Joanna</v>
      </c>
      <c r="D560" s="28">
        <f>VLOOKUP(Budgeted_Time[[#This Row],[Client]],Costing[],MATCH("Time Min 2",Costing[#Headers],0),0)</f>
        <v>120</v>
      </c>
    </row>
    <row r="561" spans="1:4" x14ac:dyDescent="0.2">
      <c r="A561" s="10" t="s">
        <v>274</v>
      </c>
      <c r="B561" s="10" t="s">
        <v>294</v>
      </c>
      <c r="C561" s="28" t="str">
        <f>VLOOKUP(Budgeted_Time[[#This Row],[Client]],Costing[],MATCH("Onboarding Team",Costing[#Headers],0),0)</f>
        <v>Laurence</v>
      </c>
      <c r="D561" s="28">
        <f>VLOOKUP(Budgeted_Time[[#This Row],[Client]],Costing[],MATCH("Onboarding Minutes",Costing[#Headers],0),0)</f>
        <v>1190</v>
      </c>
    </row>
    <row r="562" spans="1:4" x14ac:dyDescent="0.2">
      <c r="A562" s="10" t="s">
        <v>61</v>
      </c>
      <c r="B562" s="10" t="s">
        <v>145</v>
      </c>
      <c r="C562" s="28" t="str">
        <f>VLOOKUP(Budgeted_Time[[#This Row],[Client]],Costing[],MATCH("Payroll Team",Costing[#Headers],0),0)</f>
        <v>Joanna</v>
      </c>
      <c r="D562" s="28">
        <f>VLOOKUP(Budgeted_Time[[#This Row],[Client]],Costing[],MATCH("Minutes/Pay Run",Costing[#Headers],0),0)</f>
        <v>30</v>
      </c>
    </row>
    <row r="563" spans="1:4" x14ac:dyDescent="0.2">
      <c r="A563" s="10" t="s">
        <v>61</v>
      </c>
      <c r="B563" s="10" t="s">
        <v>176</v>
      </c>
      <c r="C563" s="28" t="str">
        <f>VLOOKUP(Budgeted_Time[[#This Row],[Client]],Costing[],MATCH("Super Team",Costing[#Headers],0),0)</f>
        <v>Joanna</v>
      </c>
      <c r="D563" s="28">
        <f>VLOOKUP(Budgeted_Time[[#This Row],[Client]],Costing[],MATCH("Minutes/Super",Costing[#Headers],0),0)</f>
        <v>15</v>
      </c>
    </row>
    <row r="564" spans="1:4" x14ac:dyDescent="0.2">
      <c r="A564" s="10" t="s">
        <v>61</v>
      </c>
      <c r="B564" s="10" t="s">
        <v>177</v>
      </c>
      <c r="C564" s="28" t="str">
        <f>VLOOKUP(Budgeted_Time[[#This Row],[Client]],Costing[],MATCH("Bookkeeping Team",Costing[#Headers],0),0)</f>
        <v>Joanna</v>
      </c>
      <c r="D564" s="28">
        <f>VLOOKUP(Budgeted_Time[[#This Row],[Client]],Costing[],MATCH("Minutes/Activity",Costing[#Headers],0),0)</f>
        <v>120</v>
      </c>
    </row>
    <row r="565" spans="1:4" x14ac:dyDescent="0.2">
      <c r="A565" s="10" t="s">
        <v>61</v>
      </c>
      <c r="B565" s="10" t="s">
        <v>178</v>
      </c>
      <c r="C565" s="28" t="str">
        <f>VLOOKUP(Budgeted_Time[[#This Row],[Client]],Costing[],MATCH("Reporting Team",Costing[#Headers],0),0)</f>
        <v>Kim</v>
      </c>
      <c r="D565" s="28">
        <f>VLOOKUP(Budgeted_Time[[#This Row],[Client]],Costing[],MATCH("Minutes/Report",Costing[#Headers],0),0)</f>
        <v>20</v>
      </c>
    </row>
    <row r="566" spans="1:4" x14ac:dyDescent="0.2">
      <c r="A566" s="10" t="s">
        <v>61</v>
      </c>
      <c r="B566" s="10" t="s">
        <v>179</v>
      </c>
      <c r="C566" s="28" t="str">
        <f>VLOOKUP(Budgeted_Time[[#This Row],[Client]],Costing[],MATCH("BAS 1 Team",Costing[#Headers],0),0)</f>
        <v>Joanna</v>
      </c>
      <c r="D566" s="28">
        <f>VLOOKUP(Budgeted_Time[[#This Row],[Client]],Costing[],MATCH("Minutes/BAS 1",Costing[#Headers],0),0)</f>
        <v>60</v>
      </c>
    </row>
    <row r="567" spans="1:4" x14ac:dyDescent="0.2">
      <c r="A567" s="10" t="s">
        <v>61</v>
      </c>
      <c r="B567" s="10" t="s">
        <v>180</v>
      </c>
      <c r="C567" s="28" t="str">
        <f>VLOOKUP(Budgeted_Time[[#This Row],[Client]],Costing[],MATCH("BAS 2 Team",Costing[#Headers],0),0)</f>
        <v>Rachel</v>
      </c>
      <c r="D567" s="28">
        <f>VLOOKUP(Budgeted_Time[[#This Row],[Client]],Costing[],MATCH("Minutes/BAS 2",Costing[#Headers],0),0)</f>
        <v>15</v>
      </c>
    </row>
    <row r="568" spans="1:4" x14ac:dyDescent="0.2">
      <c r="A568" s="10" t="s">
        <v>61</v>
      </c>
      <c r="B568" s="10" t="s">
        <v>181</v>
      </c>
      <c r="C568" s="28">
        <f>VLOOKUP(Budgeted_Time[[#This Row],[Client]],Costing[],MATCH("IAS Team",Costing[#Headers],0),0)</f>
        <v>0</v>
      </c>
      <c r="D568" s="28">
        <f>VLOOKUP(Budgeted_Time[[#This Row],[Client]],Costing[],MATCH("Minutes/IAS",Costing[#Headers],0),0)</f>
        <v>0</v>
      </c>
    </row>
    <row r="569" spans="1:4" x14ac:dyDescent="0.2">
      <c r="A569" s="10" t="s">
        <v>61</v>
      </c>
      <c r="B569" s="10" t="s">
        <v>261</v>
      </c>
      <c r="C569" s="28" t="str">
        <f>VLOOKUP(Budgeted_Time[[#This Row],[Client]],Costing[],MATCH("EOFY Team 1",Costing[#Headers],0),0)</f>
        <v>Kim</v>
      </c>
      <c r="D569" s="28">
        <f>VLOOKUP(Budgeted_Time[[#This Row],[Client]],Costing[],MATCH("Time Min 1",Costing[#Headers],0),0)</f>
        <v>120</v>
      </c>
    </row>
    <row r="570" spans="1:4" x14ac:dyDescent="0.2">
      <c r="A570" s="10" t="s">
        <v>61</v>
      </c>
      <c r="B570" s="10" t="s">
        <v>279</v>
      </c>
      <c r="C570" s="28" t="str">
        <f>VLOOKUP(Budgeted_Time[[#This Row],[Client]],Costing[],MATCH("EOFY Team 2",Costing[#Headers],0),0)</f>
        <v>Kathryn</v>
      </c>
      <c r="D570" s="28">
        <f>VLOOKUP(Budgeted_Time[[#This Row],[Client]],Costing[],MATCH("Time Min 2",Costing[#Headers],0),0)</f>
        <v>120</v>
      </c>
    </row>
    <row r="571" spans="1:4" x14ac:dyDescent="0.2">
      <c r="A571" s="10" t="s">
        <v>61</v>
      </c>
      <c r="B571" s="10" t="s">
        <v>294</v>
      </c>
      <c r="C571" s="28" t="str">
        <f>VLOOKUP(Budgeted_Time[[#This Row],[Client]],Costing[],MATCH("Onboarding Team",Costing[#Headers],0),0)</f>
        <v>Kim</v>
      </c>
      <c r="D571" s="28">
        <f>VLOOKUP(Budgeted_Time[[#This Row],[Client]],Costing[],MATCH("Onboarding Minutes",Costing[#Headers],0),0)</f>
        <v>714</v>
      </c>
    </row>
    <row r="572" spans="1:4" x14ac:dyDescent="0.2">
      <c r="A572" s="10" t="s">
        <v>62</v>
      </c>
      <c r="B572" s="10" t="s">
        <v>145</v>
      </c>
      <c r="C572" s="28">
        <f>VLOOKUP(Budgeted_Time[[#This Row],[Client]],Costing[],MATCH("Payroll Team",Costing[#Headers],0),0)</f>
        <v>0</v>
      </c>
      <c r="D572" s="28">
        <f>VLOOKUP(Budgeted_Time[[#This Row],[Client]],Costing[],MATCH("Minutes/Pay Run",Costing[#Headers],0),0)</f>
        <v>0</v>
      </c>
    </row>
    <row r="573" spans="1:4" x14ac:dyDescent="0.2">
      <c r="A573" s="10" t="s">
        <v>62</v>
      </c>
      <c r="B573" s="10" t="s">
        <v>176</v>
      </c>
      <c r="C573" s="28">
        <f>VLOOKUP(Budgeted_Time[[#This Row],[Client]],Costing[],MATCH("Super Team",Costing[#Headers],0),0)</f>
        <v>0</v>
      </c>
      <c r="D573" s="28">
        <f>VLOOKUP(Budgeted_Time[[#This Row],[Client]],Costing[],MATCH("Minutes/Super",Costing[#Headers],0),0)</f>
        <v>0</v>
      </c>
    </row>
    <row r="574" spans="1:4" x14ac:dyDescent="0.2">
      <c r="A574" s="10" t="s">
        <v>62</v>
      </c>
      <c r="B574" s="10" t="s">
        <v>177</v>
      </c>
      <c r="C574" s="28" t="str">
        <f>VLOOKUP(Budgeted_Time[[#This Row],[Client]],Costing[],MATCH("Bookkeeping Team",Costing[#Headers],0),0)</f>
        <v>Rachel</v>
      </c>
      <c r="D574" s="28">
        <f>VLOOKUP(Budgeted_Time[[#This Row],[Client]],Costing[],MATCH("Minutes/Activity",Costing[#Headers],0),0)</f>
        <v>175</v>
      </c>
    </row>
    <row r="575" spans="1:4" x14ac:dyDescent="0.2">
      <c r="A575" s="10" t="s">
        <v>62</v>
      </c>
      <c r="B575" s="10" t="s">
        <v>178</v>
      </c>
      <c r="C575" s="28" t="str">
        <f>VLOOKUP(Budgeted_Time[[#This Row],[Client]],Costing[],MATCH("Reporting Team",Costing[#Headers],0),0)</f>
        <v>Kim</v>
      </c>
      <c r="D575" s="28">
        <f>VLOOKUP(Budgeted_Time[[#This Row],[Client]],Costing[],MATCH("Minutes/Report",Costing[#Headers],0),0)</f>
        <v>30</v>
      </c>
    </row>
    <row r="576" spans="1:4" x14ac:dyDescent="0.2">
      <c r="A576" s="10" t="s">
        <v>62</v>
      </c>
      <c r="B576" s="10" t="s">
        <v>179</v>
      </c>
      <c r="C576" s="28" t="str">
        <f>VLOOKUP(Budgeted_Time[[#This Row],[Client]],Costing[],MATCH("BAS 1 Team",Costing[#Headers],0),0)</f>
        <v>Rachel</v>
      </c>
      <c r="D576" s="28">
        <f>VLOOKUP(Budgeted_Time[[#This Row],[Client]],Costing[],MATCH("Minutes/BAS 1",Costing[#Headers],0),0)</f>
        <v>60</v>
      </c>
    </row>
    <row r="577" spans="1:4" x14ac:dyDescent="0.2">
      <c r="A577" s="10" t="s">
        <v>62</v>
      </c>
      <c r="B577" s="10" t="s">
        <v>180</v>
      </c>
      <c r="C577" s="28" t="str">
        <f>VLOOKUP(Budgeted_Time[[#This Row],[Client]],Costing[],MATCH("BAS 2 Team",Costing[#Headers],0),0)</f>
        <v>Rachel</v>
      </c>
      <c r="D577" s="28">
        <f>VLOOKUP(Budgeted_Time[[#This Row],[Client]],Costing[],MATCH("Minutes/BAS 2",Costing[#Headers],0),0)</f>
        <v>15</v>
      </c>
    </row>
    <row r="578" spans="1:4" x14ac:dyDescent="0.2">
      <c r="A578" s="10" t="s">
        <v>62</v>
      </c>
      <c r="B578" s="10" t="s">
        <v>181</v>
      </c>
      <c r="C578" s="28">
        <f>VLOOKUP(Budgeted_Time[[#This Row],[Client]],Costing[],MATCH("IAS Team",Costing[#Headers],0),0)</f>
        <v>0</v>
      </c>
      <c r="D578" s="28">
        <f>VLOOKUP(Budgeted_Time[[#This Row],[Client]],Costing[],MATCH("Minutes/IAS",Costing[#Headers],0),0)</f>
        <v>0</v>
      </c>
    </row>
    <row r="579" spans="1:4" x14ac:dyDescent="0.2">
      <c r="A579" s="10" t="s">
        <v>62</v>
      </c>
      <c r="B579" s="10" t="s">
        <v>261</v>
      </c>
      <c r="C579" s="28" t="str">
        <f>VLOOKUP(Budgeted_Time[[#This Row],[Client]],Costing[],MATCH("EOFY Team 1",Costing[#Headers],0),0)</f>
        <v>Rachel</v>
      </c>
      <c r="D579" s="28">
        <f>VLOOKUP(Budgeted_Time[[#This Row],[Client]],Costing[],MATCH("Time Min 1",Costing[#Headers],0),0)</f>
        <v>120</v>
      </c>
    </row>
    <row r="580" spans="1:4" x14ac:dyDescent="0.2">
      <c r="A580" s="10" t="s">
        <v>62</v>
      </c>
      <c r="B580" s="10" t="s">
        <v>279</v>
      </c>
      <c r="C580" s="28" t="str">
        <f>VLOOKUP(Budgeted_Time[[#This Row],[Client]],Costing[],MATCH("EOFY Team 2",Costing[#Headers],0),0)</f>
        <v>Kim</v>
      </c>
      <c r="D580" s="28">
        <f>VLOOKUP(Budgeted_Time[[#This Row],[Client]],Costing[],MATCH("Time Min 2",Costing[#Headers],0),0)</f>
        <v>120</v>
      </c>
    </row>
    <row r="581" spans="1:4" x14ac:dyDescent="0.2">
      <c r="A581" s="10" t="s">
        <v>62</v>
      </c>
      <c r="B581" s="10" t="s">
        <v>294</v>
      </c>
      <c r="C581" s="28" t="str">
        <f>VLOOKUP(Budgeted_Time[[#This Row],[Client]],Costing[],MATCH("Onboarding Team",Costing[#Headers],0),0)</f>
        <v>Kim</v>
      </c>
      <c r="D581" s="28">
        <f>VLOOKUP(Budgeted_Time[[#This Row],[Client]],Costing[],MATCH("Onboarding Minutes",Costing[#Headers],0),0)</f>
        <v>1041.25</v>
      </c>
    </row>
    <row r="582" spans="1:4" x14ac:dyDescent="0.2">
      <c r="A582" s="10" t="s">
        <v>64</v>
      </c>
      <c r="B582" s="10" t="s">
        <v>145</v>
      </c>
      <c r="C582" s="28">
        <f>VLOOKUP(Budgeted_Time[[#This Row],[Client]],Costing[],MATCH("Payroll Team",Costing[#Headers],0),0)</f>
        <v>0</v>
      </c>
      <c r="D582" s="28">
        <f>VLOOKUP(Budgeted_Time[[#This Row],[Client]],Costing[],MATCH("Minutes/Pay Run",Costing[#Headers],0),0)</f>
        <v>0</v>
      </c>
    </row>
    <row r="583" spans="1:4" x14ac:dyDescent="0.2">
      <c r="A583" s="10" t="s">
        <v>64</v>
      </c>
      <c r="B583" s="10" t="s">
        <v>176</v>
      </c>
      <c r="C583" s="28" t="str">
        <f>VLOOKUP(Budgeted_Time[[#This Row],[Client]],Costing[],MATCH("Super Team",Costing[#Headers],0),0)</f>
        <v>Joanna</v>
      </c>
      <c r="D583" s="28">
        <f>VLOOKUP(Budgeted_Time[[#This Row],[Client]],Costing[],MATCH("Minutes/Super",Costing[#Headers],0),0)</f>
        <v>25</v>
      </c>
    </row>
    <row r="584" spans="1:4" x14ac:dyDescent="0.2">
      <c r="A584" s="10" t="s">
        <v>64</v>
      </c>
      <c r="B584" s="10" t="s">
        <v>177</v>
      </c>
      <c r="C584" s="28" t="str">
        <f>VLOOKUP(Budgeted_Time[[#This Row],[Client]],Costing[],MATCH("Bookkeeping Team",Costing[#Headers],0),0)</f>
        <v>Joanna</v>
      </c>
      <c r="D584" s="28">
        <f>VLOOKUP(Budgeted_Time[[#This Row],[Client]],Costing[],MATCH("Minutes/Activity",Costing[#Headers],0),0)</f>
        <v>340</v>
      </c>
    </row>
    <row r="585" spans="1:4" x14ac:dyDescent="0.2">
      <c r="A585" s="10" t="s">
        <v>64</v>
      </c>
      <c r="B585" s="10" t="s">
        <v>178</v>
      </c>
      <c r="C585" s="28" t="str">
        <f>VLOOKUP(Budgeted_Time[[#This Row],[Client]],Costing[],MATCH("Reporting Team",Costing[#Headers],0),0)</f>
        <v>Laurence</v>
      </c>
      <c r="D585" s="28">
        <f>VLOOKUP(Budgeted_Time[[#This Row],[Client]],Costing[],MATCH("Minutes/Report",Costing[#Headers],0),0)</f>
        <v>20</v>
      </c>
    </row>
    <row r="586" spans="1:4" x14ac:dyDescent="0.2">
      <c r="A586" s="10" t="s">
        <v>64</v>
      </c>
      <c r="B586" s="10" t="s">
        <v>179</v>
      </c>
      <c r="C586" s="28" t="str">
        <f>VLOOKUP(Budgeted_Time[[#This Row],[Client]],Costing[],MATCH("BAS 1 Team",Costing[#Headers],0),0)</f>
        <v>Joanna</v>
      </c>
      <c r="D586" s="28">
        <f>VLOOKUP(Budgeted_Time[[#This Row],[Client]],Costing[],MATCH("Minutes/BAS 1",Costing[#Headers],0),0)</f>
        <v>60</v>
      </c>
    </row>
    <row r="587" spans="1:4" x14ac:dyDescent="0.2">
      <c r="A587" s="10" t="s">
        <v>64</v>
      </c>
      <c r="B587" s="10" t="s">
        <v>180</v>
      </c>
      <c r="C587" s="28" t="str">
        <f>VLOOKUP(Budgeted_Time[[#This Row],[Client]],Costing[],MATCH("BAS 2 Team",Costing[#Headers],0),0)</f>
        <v>Rachel</v>
      </c>
      <c r="D587" s="28">
        <f>VLOOKUP(Budgeted_Time[[#This Row],[Client]],Costing[],MATCH("Minutes/BAS 2",Costing[#Headers],0),0)</f>
        <v>15</v>
      </c>
    </row>
    <row r="588" spans="1:4" x14ac:dyDescent="0.2">
      <c r="A588" s="10" t="s">
        <v>64</v>
      </c>
      <c r="B588" s="10" t="s">
        <v>181</v>
      </c>
      <c r="C588" s="28">
        <f>VLOOKUP(Budgeted_Time[[#This Row],[Client]],Costing[],MATCH("IAS Team",Costing[#Headers],0),0)</f>
        <v>0</v>
      </c>
      <c r="D588" s="28">
        <f>VLOOKUP(Budgeted_Time[[#This Row],[Client]],Costing[],MATCH("Minutes/IAS",Costing[#Headers],0),0)</f>
        <v>0</v>
      </c>
    </row>
    <row r="589" spans="1:4" x14ac:dyDescent="0.2">
      <c r="A589" s="10" t="s">
        <v>64</v>
      </c>
      <c r="B589" s="10" t="s">
        <v>261</v>
      </c>
      <c r="C589" s="28" t="str">
        <f>VLOOKUP(Budgeted_Time[[#This Row],[Client]],Costing[],MATCH("EOFY Team 1",Costing[#Headers],0),0)</f>
        <v>Joanna</v>
      </c>
      <c r="D589" s="28">
        <f>VLOOKUP(Budgeted_Time[[#This Row],[Client]],Costing[],MATCH("Time Min 1",Costing[#Headers],0),0)</f>
        <v>120</v>
      </c>
    </row>
    <row r="590" spans="1:4" x14ac:dyDescent="0.2">
      <c r="A590" s="10" t="s">
        <v>64</v>
      </c>
      <c r="B590" s="10" t="s">
        <v>279</v>
      </c>
      <c r="C590" s="28" t="str">
        <f>VLOOKUP(Budgeted_Time[[#This Row],[Client]],Costing[],MATCH("EOFY Team 2",Costing[#Headers],0),0)</f>
        <v>Laurence</v>
      </c>
      <c r="D590" s="28">
        <f>VLOOKUP(Budgeted_Time[[#This Row],[Client]],Costing[],MATCH("Time Min 2",Costing[#Headers],0),0)</f>
        <v>120</v>
      </c>
    </row>
    <row r="591" spans="1:4" x14ac:dyDescent="0.2">
      <c r="A591" s="10" t="s">
        <v>64</v>
      </c>
      <c r="B591" s="10" t="s">
        <v>294</v>
      </c>
      <c r="C591" s="28" t="str">
        <f>VLOOKUP(Budgeted_Time[[#This Row],[Client]],Costing[],MATCH("Onboarding Team",Costing[#Headers],0),0)</f>
        <v>Laurence</v>
      </c>
      <c r="D591" s="28">
        <f>VLOOKUP(Budgeted_Time[[#This Row],[Client]],Costing[],MATCH("Onboarding Minutes",Costing[#Headers],0),0)</f>
        <v>2023</v>
      </c>
    </row>
    <row r="592" spans="1:4" x14ac:dyDescent="0.2">
      <c r="A592" s="10" t="s">
        <v>65</v>
      </c>
      <c r="B592" s="10" t="s">
        <v>145</v>
      </c>
      <c r="C592" s="28">
        <f>VLOOKUP(Budgeted_Time[[#This Row],[Client]],Costing[],MATCH("Payroll Team",Costing[#Headers],0),0)</f>
        <v>0</v>
      </c>
      <c r="D592" s="28">
        <f>VLOOKUP(Budgeted_Time[[#This Row],[Client]],Costing[],MATCH("Minutes/Pay Run",Costing[#Headers],0),0)</f>
        <v>0</v>
      </c>
    </row>
    <row r="593" spans="1:4" x14ac:dyDescent="0.2">
      <c r="A593" s="10" t="s">
        <v>65</v>
      </c>
      <c r="B593" s="10" t="s">
        <v>176</v>
      </c>
      <c r="C593" s="28">
        <f>VLOOKUP(Budgeted_Time[[#This Row],[Client]],Costing[],MATCH("Super Team",Costing[#Headers],0),0)</f>
        <v>0</v>
      </c>
      <c r="D593" s="28">
        <f>VLOOKUP(Budgeted_Time[[#This Row],[Client]],Costing[],MATCH("Minutes/Super",Costing[#Headers],0),0)</f>
        <v>0</v>
      </c>
    </row>
    <row r="594" spans="1:4" x14ac:dyDescent="0.2">
      <c r="A594" s="10" t="s">
        <v>65</v>
      </c>
      <c r="B594" s="10" t="s">
        <v>177</v>
      </c>
      <c r="C594" s="28" t="str">
        <f>VLOOKUP(Budgeted_Time[[#This Row],[Client]],Costing[],MATCH("Bookkeeping Team",Costing[#Headers],0),0)</f>
        <v>Rachel</v>
      </c>
      <c r="D594" s="28">
        <f>VLOOKUP(Budgeted_Time[[#This Row],[Client]],Costing[],MATCH("Minutes/Activity",Costing[#Headers],0),0)</f>
        <v>60</v>
      </c>
    </row>
    <row r="595" spans="1:4" x14ac:dyDescent="0.2">
      <c r="A595" s="10" t="s">
        <v>65</v>
      </c>
      <c r="B595" s="10" t="s">
        <v>178</v>
      </c>
      <c r="C595" s="28" t="str">
        <f>VLOOKUP(Budgeted_Time[[#This Row],[Client]],Costing[],MATCH("Reporting Team",Costing[#Headers],0),0)</f>
        <v>Rachel</v>
      </c>
      <c r="D595" s="28">
        <f>VLOOKUP(Budgeted_Time[[#This Row],[Client]],Costing[],MATCH("Minutes/Report",Costing[#Headers],0),0)</f>
        <v>30</v>
      </c>
    </row>
    <row r="596" spans="1:4" x14ac:dyDescent="0.2">
      <c r="A596" s="10" t="s">
        <v>65</v>
      </c>
      <c r="B596" s="10" t="s">
        <v>179</v>
      </c>
      <c r="C596" s="28" t="str">
        <f>VLOOKUP(Budgeted_Time[[#This Row],[Client]],Costing[],MATCH("BAS 1 Team",Costing[#Headers],0),0)</f>
        <v>Rachel</v>
      </c>
      <c r="D596" s="28">
        <f>VLOOKUP(Budgeted_Time[[#This Row],[Client]],Costing[],MATCH("Minutes/BAS 1",Costing[#Headers],0),0)</f>
        <v>60</v>
      </c>
    </row>
    <row r="597" spans="1:4" x14ac:dyDescent="0.2">
      <c r="A597" s="10" t="s">
        <v>65</v>
      </c>
      <c r="B597" s="10" t="s">
        <v>180</v>
      </c>
      <c r="C597" s="28" t="str">
        <f>VLOOKUP(Budgeted_Time[[#This Row],[Client]],Costing[],MATCH("BAS 2 Team",Costing[#Headers],0),0)</f>
        <v>Rachel</v>
      </c>
      <c r="D597" s="28">
        <f>VLOOKUP(Budgeted_Time[[#This Row],[Client]],Costing[],MATCH("Minutes/BAS 2",Costing[#Headers],0),0)</f>
        <v>15</v>
      </c>
    </row>
    <row r="598" spans="1:4" x14ac:dyDescent="0.2">
      <c r="A598" s="10" t="s">
        <v>65</v>
      </c>
      <c r="B598" s="10" t="s">
        <v>181</v>
      </c>
      <c r="C598" s="28">
        <f>VLOOKUP(Budgeted_Time[[#This Row],[Client]],Costing[],MATCH("IAS Team",Costing[#Headers],0),0)</f>
        <v>0</v>
      </c>
      <c r="D598" s="28">
        <f>VLOOKUP(Budgeted_Time[[#This Row],[Client]],Costing[],MATCH("Minutes/IAS",Costing[#Headers],0),0)</f>
        <v>0</v>
      </c>
    </row>
    <row r="599" spans="1:4" x14ac:dyDescent="0.2">
      <c r="A599" s="10" t="s">
        <v>65</v>
      </c>
      <c r="B599" s="10" t="s">
        <v>261</v>
      </c>
      <c r="C599" s="28" t="str">
        <f>VLOOKUP(Budgeted_Time[[#This Row],[Client]],Costing[],MATCH("EOFY Team 1",Costing[#Headers],0),0)</f>
        <v>Kim</v>
      </c>
      <c r="D599" s="28">
        <f>VLOOKUP(Budgeted_Time[[#This Row],[Client]],Costing[],MATCH("Time Min 1",Costing[#Headers],0),0)</f>
        <v>60</v>
      </c>
    </row>
    <row r="600" spans="1:4" x14ac:dyDescent="0.2">
      <c r="A600" s="10" t="s">
        <v>65</v>
      </c>
      <c r="B600" s="10" t="s">
        <v>279</v>
      </c>
      <c r="C600" s="28" t="str">
        <f>VLOOKUP(Budgeted_Time[[#This Row],[Client]],Costing[],MATCH("EOFY Team 2",Costing[#Headers],0),0)</f>
        <v>Rachel</v>
      </c>
      <c r="D600" s="28">
        <f>VLOOKUP(Budgeted_Time[[#This Row],[Client]],Costing[],MATCH("Time Min 2",Costing[#Headers],0),0)</f>
        <v>60</v>
      </c>
    </row>
    <row r="601" spans="1:4" x14ac:dyDescent="0.2">
      <c r="A601" s="10" t="s">
        <v>65</v>
      </c>
      <c r="B601" s="10" t="s">
        <v>294</v>
      </c>
      <c r="C601" s="28" t="str">
        <f>VLOOKUP(Budgeted_Time[[#This Row],[Client]],Costing[],MATCH("Onboarding Team",Costing[#Headers],0),0)</f>
        <v>Laurence</v>
      </c>
      <c r="D601" s="28">
        <f>VLOOKUP(Budgeted_Time[[#This Row],[Client]],Costing[],MATCH("Onboarding Minutes",Costing[#Headers],0),0)</f>
        <v>357</v>
      </c>
    </row>
    <row r="602" spans="1:4" x14ac:dyDescent="0.2">
      <c r="A602" s="10" t="s">
        <v>67</v>
      </c>
      <c r="B602" s="10" t="s">
        <v>145</v>
      </c>
      <c r="C602" s="28" t="str">
        <f>VLOOKUP(Budgeted_Time[[#This Row],[Client]],Costing[],MATCH("Payroll Team",Costing[#Headers],0),0)</f>
        <v>Kathryn</v>
      </c>
      <c r="D602" s="28">
        <f>VLOOKUP(Budgeted_Time[[#This Row],[Client]],Costing[],MATCH("Minutes/Pay Run",Costing[#Headers],0),0)</f>
        <v>30</v>
      </c>
    </row>
    <row r="603" spans="1:4" x14ac:dyDescent="0.2">
      <c r="A603" s="10" t="s">
        <v>67</v>
      </c>
      <c r="B603" s="10" t="s">
        <v>176</v>
      </c>
      <c r="C603" s="28" t="str">
        <f>VLOOKUP(Budgeted_Time[[#This Row],[Client]],Costing[],MATCH("Super Team",Costing[#Headers],0),0)</f>
        <v>Kathryn</v>
      </c>
      <c r="D603" s="28">
        <f>VLOOKUP(Budgeted_Time[[#This Row],[Client]],Costing[],MATCH("Minutes/Super",Costing[#Headers],0),0)</f>
        <v>15</v>
      </c>
    </row>
    <row r="604" spans="1:4" x14ac:dyDescent="0.2">
      <c r="A604" s="10" t="s">
        <v>67</v>
      </c>
      <c r="B604" s="10" t="s">
        <v>177</v>
      </c>
      <c r="C604" s="28" t="str">
        <f>VLOOKUP(Budgeted_Time[[#This Row],[Client]],Costing[],MATCH("Bookkeeping Team",Costing[#Headers],0),0)</f>
        <v>Kathryn</v>
      </c>
      <c r="D604" s="28">
        <f>VLOOKUP(Budgeted_Time[[#This Row],[Client]],Costing[],MATCH("Minutes/Activity",Costing[#Headers],0),0)</f>
        <v>240</v>
      </c>
    </row>
    <row r="605" spans="1:4" x14ac:dyDescent="0.2">
      <c r="A605" s="10" t="s">
        <v>67</v>
      </c>
      <c r="B605" s="10" t="s">
        <v>178</v>
      </c>
      <c r="C605" s="28" t="str">
        <f>VLOOKUP(Budgeted_Time[[#This Row],[Client]],Costing[],MATCH("Reporting Team",Costing[#Headers],0),0)</f>
        <v>Laurence</v>
      </c>
      <c r="D605" s="28">
        <f>VLOOKUP(Budgeted_Time[[#This Row],[Client]],Costing[],MATCH("Minutes/Report",Costing[#Headers],0),0)</f>
        <v>60</v>
      </c>
    </row>
    <row r="606" spans="1:4" x14ac:dyDescent="0.2">
      <c r="A606" s="10" t="s">
        <v>67</v>
      </c>
      <c r="B606" s="10" t="s">
        <v>179</v>
      </c>
      <c r="C606" s="28" t="str">
        <f>VLOOKUP(Budgeted_Time[[#This Row],[Client]],Costing[],MATCH("BAS 1 Team",Costing[#Headers],0),0)</f>
        <v>Kathryn</v>
      </c>
      <c r="D606" s="28">
        <f>VLOOKUP(Budgeted_Time[[#This Row],[Client]],Costing[],MATCH("Minutes/BAS 1",Costing[#Headers],0),0)</f>
        <v>60</v>
      </c>
    </row>
    <row r="607" spans="1:4" x14ac:dyDescent="0.2">
      <c r="A607" s="10" t="s">
        <v>67</v>
      </c>
      <c r="B607" s="10" t="s">
        <v>180</v>
      </c>
      <c r="C607" s="28" t="str">
        <f>VLOOKUP(Budgeted_Time[[#This Row],[Client]],Costing[],MATCH("BAS 2 Team",Costing[#Headers],0),0)</f>
        <v>Rachel</v>
      </c>
      <c r="D607" s="28">
        <f>VLOOKUP(Budgeted_Time[[#This Row],[Client]],Costing[],MATCH("Minutes/BAS 2",Costing[#Headers],0),0)</f>
        <v>15</v>
      </c>
    </row>
    <row r="608" spans="1:4" x14ac:dyDescent="0.2">
      <c r="A608" s="10" t="s">
        <v>67</v>
      </c>
      <c r="B608" s="10" t="s">
        <v>181</v>
      </c>
      <c r="C608" s="28" t="str">
        <f>VLOOKUP(Budgeted_Time[[#This Row],[Client]],Costing[],MATCH("IAS Team",Costing[#Headers],0),0)</f>
        <v>Rachel</v>
      </c>
      <c r="D608" s="28">
        <f>VLOOKUP(Budgeted_Time[[#This Row],[Client]],Costing[],MATCH("Minutes/IAS",Costing[#Headers],0),0)</f>
        <v>30</v>
      </c>
    </row>
    <row r="609" spans="1:4" x14ac:dyDescent="0.2">
      <c r="A609" s="10" t="s">
        <v>67</v>
      </c>
      <c r="B609" s="10" t="s">
        <v>261</v>
      </c>
      <c r="C609" s="28" t="str">
        <f>VLOOKUP(Budgeted_Time[[#This Row],[Client]],Costing[],MATCH("EOFY Team 1",Costing[#Headers],0),0)</f>
        <v>Laurence</v>
      </c>
      <c r="D609" s="28">
        <f>VLOOKUP(Budgeted_Time[[#This Row],[Client]],Costing[],MATCH("Time Min 1",Costing[#Headers],0),0)</f>
        <v>120</v>
      </c>
    </row>
    <row r="610" spans="1:4" x14ac:dyDescent="0.2">
      <c r="A610" s="10" t="s">
        <v>67</v>
      </c>
      <c r="B610" s="10" t="s">
        <v>279</v>
      </c>
      <c r="C610" s="28" t="str">
        <f>VLOOKUP(Budgeted_Time[[#This Row],[Client]],Costing[],MATCH("EOFY Team 2",Costing[#Headers],0),0)</f>
        <v>Kathryn</v>
      </c>
      <c r="D610" s="28">
        <f>VLOOKUP(Budgeted_Time[[#This Row],[Client]],Costing[],MATCH("Time Min 2",Costing[#Headers],0),0)</f>
        <v>120</v>
      </c>
    </row>
    <row r="611" spans="1:4" x14ac:dyDescent="0.2">
      <c r="A611" s="10" t="s">
        <v>67</v>
      </c>
      <c r="B611" s="10" t="s">
        <v>294</v>
      </c>
      <c r="C611" s="28" t="str">
        <f>VLOOKUP(Budgeted_Time[[#This Row],[Client]],Costing[],MATCH("Onboarding Team",Costing[#Headers],0),0)</f>
        <v>Laurence</v>
      </c>
      <c r="D611" s="28">
        <f>VLOOKUP(Budgeted_Time[[#This Row],[Client]],Costing[],MATCH("Onboarding Minutes",Costing[#Headers],0),0)</f>
        <v>1428</v>
      </c>
    </row>
    <row r="612" spans="1:4" x14ac:dyDescent="0.2">
      <c r="A612" s="10" t="s">
        <v>66</v>
      </c>
      <c r="B612" s="10" t="s">
        <v>145</v>
      </c>
      <c r="C612" s="28" t="str">
        <f>VLOOKUP(Budgeted_Time[[#This Row],[Client]],Costing[],MATCH("Payroll Team",Costing[#Headers],0),0)</f>
        <v>Kathryn</v>
      </c>
      <c r="D612" s="28">
        <f>VLOOKUP(Budgeted_Time[[#This Row],[Client]],Costing[],MATCH("Minutes/Pay Run",Costing[#Headers],0),0)</f>
        <v>20</v>
      </c>
    </row>
    <row r="613" spans="1:4" x14ac:dyDescent="0.2">
      <c r="A613" s="10" t="s">
        <v>66</v>
      </c>
      <c r="B613" s="10" t="s">
        <v>176</v>
      </c>
      <c r="C613" s="28" t="str">
        <f>VLOOKUP(Budgeted_Time[[#This Row],[Client]],Costing[],MATCH("Super Team",Costing[#Headers],0),0)</f>
        <v>Kathryn</v>
      </c>
      <c r="D613" s="28">
        <f>VLOOKUP(Budgeted_Time[[#This Row],[Client]],Costing[],MATCH("Minutes/Super",Costing[#Headers],0),0)</f>
        <v>15</v>
      </c>
    </row>
    <row r="614" spans="1:4" x14ac:dyDescent="0.2">
      <c r="A614" s="10" t="s">
        <v>66</v>
      </c>
      <c r="B614" s="10" t="s">
        <v>177</v>
      </c>
      <c r="C614" s="28" t="str">
        <f>VLOOKUP(Budgeted_Time[[#This Row],[Client]],Costing[],MATCH("Bookkeeping Team",Costing[#Headers],0),0)</f>
        <v>Kathryn</v>
      </c>
      <c r="D614" s="28">
        <f>VLOOKUP(Budgeted_Time[[#This Row],[Client]],Costing[],MATCH("Minutes/Activity",Costing[#Headers],0),0)</f>
        <v>60</v>
      </c>
    </row>
    <row r="615" spans="1:4" x14ac:dyDescent="0.2">
      <c r="A615" s="10" t="s">
        <v>66</v>
      </c>
      <c r="B615" s="10" t="s">
        <v>178</v>
      </c>
      <c r="C615" s="28" t="str">
        <f>VLOOKUP(Budgeted_Time[[#This Row],[Client]],Costing[],MATCH("Reporting Team",Costing[#Headers],0),0)</f>
        <v>Kathryn</v>
      </c>
      <c r="D615" s="28">
        <f>VLOOKUP(Budgeted_Time[[#This Row],[Client]],Costing[],MATCH("Minutes/Report",Costing[#Headers],0),0)</f>
        <v>20</v>
      </c>
    </row>
    <row r="616" spans="1:4" x14ac:dyDescent="0.2">
      <c r="A616" s="10" t="s">
        <v>66</v>
      </c>
      <c r="B616" s="10" t="s">
        <v>179</v>
      </c>
      <c r="C616" s="28" t="str">
        <f>VLOOKUP(Budgeted_Time[[#This Row],[Client]],Costing[],MATCH("BAS 1 Team",Costing[#Headers],0),0)</f>
        <v>Kathryn</v>
      </c>
      <c r="D616" s="28">
        <f>VLOOKUP(Budgeted_Time[[#This Row],[Client]],Costing[],MATCH("Minutes/BAS 1",Costing[#Headers],0),0)</f>
        <v>60</v>
      </c>
    </row>
    <row r="617" spans="1:4" x14ac:dyDescent="0.2">
      <c r="A617" s="10" t="s">
        <v>66</v>
      </c>
      <c r="B617" s="10" t="s">
        <v>180</v>
      </c>
      <c r="C617" s="28" t="str">
        <f>VLOOKUP(Budgeted_Time[[#This Row],[Client]],Costing[],MATCH("BAS 2 Team",Costing[#Headers],0),0)</f>
        <v>Rachel</v>
      </c>
      <c r="D617" s="28">
        <f>VLOOKUP(Budgeted_Time[[#This Row],[Client]],Costing[],MATCH("Minutes/BAS 2",Costing[#Headers],0),0)</f>
        <v>15</v>
      </c>
    </row>
    <row r="618" spans="1:4" x14ac:dyDescent="0.2">
      <c r="A618" s="10" t="s">
        <v>66</v>
      </c>
      <c r="B618" s="10" t="s">
        <v>181</v>
      </c>
      <c r="C618" s="28" t="str">
        <f>VLOOKUP(Budgeted_Time[[#This Row],[Client]],Costing[],MATCH("IAS Team",Costing[#Headers],0),0)</f>
        <v>Rachel</v>
      </c>
      <c r="D618" s="28">
        <f>VLOOKUP(Budgeted_Time[[#This Row],[Client]],Costing[],MATCH("Minutes/IAS",Costing[#Headers],0),0)</f>
        <v>30</v>
      </c>
    </row>
    <row r="619" spans="1:4" x14ac:dyDescent="0.2">
      <c r="A619" s="10" t="s">
        <v>66</v>
      </c>
      <c r="B619" s="10" t="s">
        <v>261</v>
      </c>
      <c r="C619" s="28" t="str">
        <f>VLOOKUP(Budgeted_Time[[#This Row],[Client]],Costing[],MATCH("EOFY Team 1",Costing[#Headers],0),0)</f>
        <v>Kim</v>
      </c>
      <c r="D619" s="28">
        <f>VLOOKUP(Budgeted_Time[[#This Row],[Client]],Costing[],MATCH("Time Min 1",Costing[#Headers],0),0)</f>
        <v>120</v>
      </c>
    </row>
    <row r="620" spans="1:4" x14ac:dyDescent="0.2">
      <c r="A620" s="10" t="s">
        <v>66</v>
      </c>
      <c r="B620" s="10" t="s">
        <v>279</v>
      </c>
      <c r="C620" s="28" t="str">
        <f>VLOOKUP(Budgeted_Time[[#This Row],[Client]],Costing[],MATCH("EOFY Team 2",Costing[#Headers],0),0)</f>
        <v>Kathryn</v>
      </c>
      <c r="D620" s="28">
        <f>VLOOKUP(Budgeted_Time[[#This Row],[Client]],Costing[],MATCH("Time Min 2",Costing[#Headers],0),0)</f>
        <v>120</v>
      </c>
    </row>
    <row r="621" spans="1:4" x14ac:dyDescent="0.2">
      <c r="A621" s="10" t="s">
        <v>66</v>
      </c>
      <c r="B621" s="10" t="s">
        <v>294</v>
      </c>
      <c r="C621" s="28" t="str">
        <f>VLOOKUP(Budgeted_Time[[#This Row],[Client]],Costing[],MATCH("Onboarding Team",Costing[#Headers],0),0)</f>
        <v>Kim</v>
      </c>
      <c r="D621" s="28">
        <f>VLOOKUP(Budgeted_Time[[#This Row],[Client]],Costing[],MATCH("Onboarding Minutes",Costing[#Headers],0),0)</f>
        <v>357</v>
      </c>
    </row>
    <row r="622" spans="1:4" x14ac:dyDescent="0.2">
      <c r="A622" s="10" t="s">
        <v>68</v>
      </c>
      <c r="B622" s="10" t="s">
        <v>145</v>
      </c>
      <c r="C622" s="28">
        <f>VLOOKUP(Budgeted_Time[[#This Row],[Client]],Costing[],MATCH("Payroll Team",Costing[#Headers],0),0)</f>
        <v>0</v>
      </c>
      <c r="D622" s="28">
        <f>VLOOKUP(Budgeted_Time[[#This Row],[Client]],Costing[],MATCH("Minutes/Pay Run",Costing[#Headers],0),0)</f>
        <v>0</v>
      </c>
    </row>
    <row r="623" spans="1:4" x14ac:dyDescent="0.2">
      <c r="A623" s="10" t="s">
        <v>68</v>
      </c>
      <c r="B623" s="10" t="s">
        <v>176</v>
      </c>
      <c r="C623" s="28">
        <f>VLOOKUP(Budgeted_Time[[#This Row],[Client]],Costing[],MATCH("Super Team",Costing[#Headers],0),0)</f>
        <v>0</v>
      </c>
      <c r="D623" s="28">
        <f>VLOOKUP(Budgeted_Time[[#This Row],[Client]],Costing[],MATCH("Minutes/Super",Costing[#Headers],0),0)</f>
        <v>0</v>
      </c>
    </row>
    <row r="624" spans="1:4" x14ac:dyDescent="0.2">
      <c r="A624" s="10" t="s">
        <v>68</v>
      </c>
      <c r="B624" s="10" t="s">
        <v>177</v>
      </c>
      <c r="C624" s="28" t="str">
        <f>VLOOKUP(Budgeted_Time[[#This Row],[Client]],Costing[],MATCH("Bookkeeping Team",Costing[#Headers],0),0)</f>
        <v>Rachel</v>
      </c>
      <c r="D624" s="28">
        <f>VLOOKUP(Budgeted_Time[[#This Row],[Client]],Costing[],MATCH("Minutes/Activity",Costing[#Headers],0),0)</f>
        <v>166</v>
      </c>
    </row>
    <row r="625" spans="1:4" x14ac:dyDescent="0.2">
      <c r="A625" s="10" t="s">
        <v>68</v>
      </c>
      <c r="B625" s="10" t="s">
        <v>178</v>
      </c>
      <c r="C625" s="28" t="str">
        <f>VLOOKUP(Budgeted_Time[[#This Row],[Client]],Costing[],MATCH("Reporting Team",Costing[#Headers],0),0)</f>
        <v>Laurence</v>
      </c>
      <c r="D625" s="28">
        <f>VLOOKUP(Budgeted_Time[[#This Row],[Client]],Costing[],MATCH("Minutes/Report",Costing[#Headers],0),0)</f>
        <v>20</v>
      </c>
    </row>
    <row r="626" spans="1:4" x14ac:dyDescent="0.2">
      <c r="A626" s="10" t="s">
        <v>68</v>
      </c>
      <c r="B626" s="10" t="s">
        <v>179</v>
      </c>
      <c r="C626" s="28">
        <f>VLOOKUP(Budgeted_Time[[#This Row],[Client]],Costing[],MATCH("BAS 1 Team",Costing[#Headers],0),0)</f>
        <v>0</v>
      </c>
      <c r="D626" s="28">
        <f>VLOOKUP(Budgeted_Time[[#This Row],[Client]],Costing[],MATCH("Minutes/BAS 1",Costing[#Headers],0),0)</f>
        <v>0</v>
      </c>
    </row>
    <row r="627" spans="1:4" x14ac:dyDescent="0.2">
      <c r="A627" s="10" t="s">
        <v>68</v>
      </c>
      <c r="B627" s="10" t="s">
        <v>180</v>
      </c>
      <c r="C627" s="28">
        <f>VLOOKUP(Budgeted_Time[[#This Row],[Client]],Costing[],MATCH("BAS 2 Team",Costing[#Headers],0),0)</f>
        <v>0</v>
      </c>
      <c r="D627" s="28">
        <f>VLOOKUP(Budgeted_Time[[#This Row],[Client]],Costing[],MATCH("Minutes/BAS 2",Costing[#Headers],0),0)</f>
        <v>0</v>
      </c>
    </row>
    <row r="628" spans="1:4" x14ac:dyDescent="0.2">
      <c r="A628" s="10" t="s">
        <v>68</v>
      </c>
      <c r="B628" s="10" t="s">
        <v>181</v>
      </c>
      <c r="C628" s="28">
        <f>VLOOKUP(Budgeted_Time[[#This Row],[Client]],Costing[],MATCH("IAS Team",Costing[#Headers],0),0)</f>
        <v>0</v>
      </c>
      <c r="D628" s="28">
        <f>VLOOKUP(Budgeted_Time[[#This Row],[Client]],Costing[],MATCH("Minutes/IAS",Costing[#Headers],0),0)</f>
        <v>0</v>
      </c>
    </row>
    <row r="629" spans="1:4" x14ac:dyDescent="0.2">
      <c r="A629" s="10" t="s">
        <v>68</v>
      </c>
      <c r="B629" s="10" t="s">
        <v>261</v>
      </c>
      <c r="C629" s="28" t="str">
        <f>VLOOKUP(Budgeted_Time[[#This Row],[Client]],Costing[],MATCH("EOFY Team 1",Costing[#Headers],0),0)</f>
        <v>Laurence</v>
      </c>
      <c r="D629" s="28">
        <f>VLOOKUP(Budgeted_Time[[#This Row],[Client]],Costing[],MATCH("Time Min 1",Costing[#Headers],0),0)</f>
        <v>120</v>
      </c>
    </row>
    <row r="630" spans="1:4" x14ac:dyDescent="0.2">
      <c r="A630" s="10" t="s">
        <v>68</v>
      </c>
      <c r="B630" s="10" t="s">
        <v>279</v>
      </c>
      <c r="C630" s="28" t="str">
        <f>VLOOKUP(Budgeted_Time[[#This Row],[Client]],Costing[],MATCH("EOFY Team 2",Costing[#Headers],0),0)</f>
        <v>Rachel</v>
      </c>
      <c r="D630" s="28">
        <f>VLOOKUP(Budgeted_Time[[#This Row],[Client]],Costing[],MATCH("Time Min 2",Costing[#Headers],0),0)</f>
        <v>120</v>
      </c>
    </row>
    <row r="631" spans="1:4" x14ac:dyDescent="0.2">
      <c r="A631" s="10" t="s">
        <v>68</v>
      </c>
      <c r="B631" s="10" t="s">
        <v>294</v>
      </c>
      <c r="C631" s="28" t="str">
        <f>VLOOKUP(Budgeted_Time[[#This Row],[Client]],Costing[],MATCH("Onboarding Team",Costing[#Headers],0),0)</f>
        <v>Laurence</v>
      </c>
      <c r="D631" s="28">
        <f>VLOOKUP(Budgeted_Time[[#This Row],[Client]],Costing[],MATCH("Onboarding Minutes",Costing[#Headers],0),0)</f>
        <v>987.7</v>
      </c>
    </row>
    <row r="632" spans="1:4" x14ac:dyDescent="0.2">
      <c r="A632" s="10" t="s">
        <v>69</v>
      </c>
      <c r="B632" s="10" t="s">
        <v>145</v>
      </c>
      <c r="C632" s="28">
        <f>VLOOKUP(Budgeted_Time[[#This Row],[Client]],Costing[],MATCH("Payroll Team",Costing[#Headers],0),0)</f>
        <v>0</v>
      </c>
      <c r="D632" s="28">
        <f>VLOOKUP(Budgeted_Time[[#This Row],[Client]],Costing[],MATCH("Minutes/Pay Run",Costing[#Headers],0),0)</f>
        <v>0</v>
      </c>
    </row>
    <row r="633" spans="1:4" x14ac:dyDescent="0.2">
      <c r="A633" s="10" t="s">
        <v>69</v>
      </c>
      <c r="B633" s="10" t="s">
        <v>176</v>
      </c>
      <c r="C633" s="28">
        <f>VLOOKUP(Budgeted_Time[[#This Row],[Client]],Costing[],MATCH("Super Team",Costing[#Headers],0),0)</f>
        <v>0</v>
      </c>
      <c r="D633" s="28">
        <f>VLOOKUP(Budgeted_Time[[#This Row],[Client]],Costing[],MATCH("Minutes/Super",Costing[#Headers],0),0)</f>
        <v>0</v>
      </c>
    </row>
    <row r="634" spans="1:4" x14ac:dyDescent="0.2">
      <c r="A634" s="10" t="s">
        <v>69</v>
      </c>
      <c r="B634" s="10" t="s">
        <v>177</v>
      </c>
      <c r="C634" s="28" t="str">
        <f>VLOOKUP(Budgeted_Time[[#This Row],[Client]],Costing[],MATCH("Bookkeeping Team",Costing[#Headers],0),0)</f>
        <v>Rachel</v>
      </c>
      <c r="D634" s="28">
        <f>VLOOKUP(Budgeted_Time[[#This Row],[Client]],Costing[],MATCH("Minutes/Activity",Costing[#Headers],0),0)</f>
        <v>100</v>
      </c>
    </row>
    <row r="635" spans="1:4" x14ac:dyDescent="0.2">
      <c r="A635" s="10" t="s">
        <v>69</v>
      </c>
      <c r="B635" s="10" t="s">
        <v>178</v>
      </c>
      <c r="C635" s="28" t="str">
        <f>VLOOKUP(Budgeted_Time[[#This Row],[Client]],Costing[],MATCH("Reporting Team",Costing[#Headers],0),0)</f>
        <v>Laurence</v>
      </c>
      <c r="D635" s="28">
        <f>VLOOKUP(Budgeted_Time[[#This Row],[Client]],Costing[],MATCH("Minutes/Report",Costing[#Headers],0),0)</f>
        <v>600</v>
      </c>
    </row>
    <row r="636" spans="1:4" x14ac:dyDescent="0.2">
      <c r="A636" s="10" t="s">
        <v>69</v>
      </c>
      <c r="B636" s="10" t="s">
        <v>179</v>
      </c>
      <c r="C636" s="28" t="str">
        <f>VLOOKUP(Budgeted_Time[[#This Row],[Client]],Costing[],MATCH("BAS 1 Team",Costing[#Headers],0),0)</f>
        <v>Rachel</v>
      </c>
      <c r="D636" s="28">
        <f>VLOOKUP(Budgeted_Time[[#This Row],[Client]],Costing[],MATCH("Minutes/BAS 1",Costing[#Headers],0),0)</f>
        <v>60</v>
      </c>
    </row>
    <row r="637" spans="1:4" x14ac:dyDescent="0.2">
      <c r="A637" s="10" t="s">
        <v>69</v>
      </c>
      <c r="B637" s="10" t="s">
        <v>180</v>
      </c>
      <c r="C637" s="28" t="str">
        <f>VLOOKUP(Budgeted_Time[[#This Row],[Client]],Costing[],MATCH("BAS 2 Team",Costing[#Headers],0),0)</f>
        <v>Rachel</v>
      </c>
      <c r="D637" s="28">
        <f>VLOOKUP(Budgeted_Time[[#This Row],[Client]],Costing[],MATCH("Minutes/BAS 2",Costing[#Headers],0),0)</f>
        <v>15</v>
      </c>
    </row>
    <row r="638" spans="1:4" x14ac:dyDescent="0.2">
      <c r="A638" s="10" t="s">
        <v>69</v>
      </c>
      <c r="B638" s="10" t="s">
        <v>181</v>
      </c>
      <c r="C638" s="28" t="str">
        <f>VLOOKUP(Budgeted_Time[[#This Row],[Client]],Costing[],MATCH("IAS Team",Costing[#Headers],0),0)</f>
        <v>Rachel</v>
      </c>
      <c r="D638" s="28">
        <f>VLOOKUP(Budgeted_Time[[#This Row],[Client]],Costing[],MATCH("Minutes/IAS",Costing[#Headers],0),0)</f>
        <v>30</v>
      </c>
    </row>
    <row r="639" spans="1:4" x14ac:dyDescent="0.2">
      <c r="A639" s="10" t="s">
        <v>69</v>
      </c>
      <c r="B639" s="10" t="s">
        <v>261</v>
      </c>
      <c r="C639" s="28" t="str">
        <f>VLOOKUP(Budgeted_Time[[#This Row],[Client]],Costing[],MATCH("EOFY Team 1",Costing[#Headers],0),0)</f>
        <v>Laurence</v>
      </c>
      <c r="D639" s="28">
        <f>VLOOKUP(Budgeted_Time[[#This Row],[Client]],Costing[],MATCH("Time Min 1",Costing[#Headers],0),0)</f>
        <v>600</v>
      </c>
    </row>
    <row r="640" spans="1:4" x14ac:dyDescent="0.2">
      <c r="A640" s="10" t="s">
        <v>69</v>
      </c>
      <c r="B640" s="10" t="s">
        <v>279</v>
      </c>
      <c r="C640" s="28" t="str">
        <f>VLOOKUP(Budgeted_Time[[#This Row],[Client]],Costing[],MATCH("EOFY Team 2",Costing[#Headers],0),0)</f>
        <v>Rachel</v>
      </c>
      <c r="D640" s="28">
        <f>VLOOKUP(Budgeted_Time[[#This Row],[Client]],Costing[],MATCH("Time Min 2",Costing[#Headers],0),0)</f>
        <v>60</v>
      </c>
    </row>
    <row r="641" spans="1:4" x14ac:dyDescent="0.2">
      <c r="A641" s="10" t="s">
        <v>69</v>
      </c>
      <c r="B641" s="10" t="s">
        <v>294</v>
      </c>
      <c r="C641" s="28" t="str">
        <f>VLOOKUP(Budgeted_Time[[#This Row],[Client]],Costing[],MATCH("Onboarding Team",Costing[#Headers],0),0)</f>
        <v>Laurence</v>
      </c>
      <c r="D641" s="28">
        <f>VLOOKUP(Budgeted_Time[[#This Row],[Client]],Costing[],MATCH("Onboarding Minutes",Costing[#Headers],0),0)</f>
        <v>595</v>
      </c>
    </row>
    <row r="642" spans="1:4" x14ac:dyDescent="0.2">
      <c r="A642" s="10" t="s">
        <v>70</v>
      </c>
      <c r="B642" s="10" t="s">
        <v>145</v>
      </c>
      <c r="C642" s="28" t="str">
        <f>VLOOKUP(Budgeted_Time[[#This Row],[Client]],Costing[],MATCH("Payroll Team",Costing[#Headers],0),0)</f>
        <v>Rachel</v>
      </c>
      <c r="D642" s="28">
        <f>VLOOKUP(Budgeted_Time[[#This Row],[Client]],Costing[],MATCH("Minutes/Pay Run",Costing[#Headers],0),0)</f>
        <v>25</v>
      </c>
    </row>
    <row r="643" spans="1:4" x14ac:dyDescent="0.2">
      <c r="A643" s="10" t="s">
        <v>70</v>
      </c>
      <c r="B643" s="10" t="s">
        <v>176</v>
      </c>
      <c r="C643" s="28" t="str">
        <f>VLOOKUP(Budgeted_Time[[#This Row],[Client]],Costing[],MATCH("Super Team",Costing[#Headers],0),0)</f>
        <v>Rachel</v>
      </c>
      <c r="D643" s="28">
        <f>VLOOKUP(Budgeted_Time[[#This Row],[Client]],Costing[],MATCH("Minutes/Super",Costing[#Headers],0),0)</f>
        <v>15</v>
      </c>
    </row>
    <row r="644" spans="1:4" x14ac:dyDescent="0.2">
      <c r="A644" s="10" t="s">
        <v>70</v>
      </c>
      <c r="B644" s="10" t="s">
        <v>177</v>
      </c>
      <c r="C644" s="28" t="str">
        <f>VLOOKUP(Budgeted_Time[[#This Row],[Client]],Costing[],MATCH("Bookkeeping Team",Costing[#Headers],0),0)</f>
        <v>Rachel</v>
      </c>
      <c r="D644" s="28">
        <f>VLOOKUP(Budgeted_Time[[#This Row],[Client]],Costing[],MATCH("Minutes/Activity",Costing[#Headers],0),0)</f>
        <v>90</v>
      </c>
    </row>
    <row r="645" spans="1:4" x14ac:dyDescent="0.2">
      <c r="A645" s="10" t="s">
        <v>70</v>
      </c>
      <c r="B645" s="10" t="s">
        <v>178</v>
      </c>
      <c r="C645" s="28" t="str">
        <f>VLOOKUP(Budgeted_Time[[#This Row],[Client]],Costing[],MATCH("Reporting Team",Costing[#Headers],0),0)</f>
        <v>Laurence</v>
      </c>
      <c r="D645" s="28">
        <f>VLOOKUP(Budgeted_Time[[#This Row],[Client]],Costing[],MATCH("Minutes/Report",Costing[#Headers],0),0)</f>
        <v>150</v>
      </c>
    </row>
    <row r="646" spans="1:4" x14ac:dyDescent="0.2">
      <c r="A646" s="10" t="s">
        <v>70</v>
      </c>
      <c r="B646" s="10" t="s">
        <v>179</v>
      </c>
      <c r="C646" s="28" t="str">
        <f>VLOOKUP(Budgeted_Time[[#This Row],[Client]],Costing[],MATCH("BAS 1 Team",Costing[#Headers],0),0)</f>
        <v>Rachel</v>
      </c>
      <c r="D646" s="28">
        <f>VLOOKUP(Budgeted_Time[[#This Row],[Client]],Costing[],MATCH("Minutes/BAS 1",Costing[#Headers],0),0)</f>
        <v>60</v>
      </c>
    </row>
    <row r="647" spans="1:4" x14ac:dyDescent="0.2">
      <c r="A647" s="10" t="s">
        <v>70</v>
      </c>
      <c r="B647" s="10" t="s">
        <v>180</v>
      </c>
      <c r="C647" s="28" t="str">
        <f>VLOOKUP(Budgeted_Time[[#This Row],[Client]],Costing[],MATCH("BAS 2 Team",Costing[#Headers],0),0)</f>
        <v>Rachel</v>
      </c>
      <c r="D647" s="28">
        <f>VLOOKUP(Budgeted_Time[[#This Row],[Client]],Costing[],MATCH("Minutes/BAS 2",Costing[#Headers],0),0)</f>
        <v>15</v>
      </c>
    </row>
    <row r="648" spans="1:4" x14ac:dyDescent="0.2">
      <c r="A648" s="10" t="s">
        <v>70</v>
      </c>
      <c r="B648" s="10" t="s">
        <v>181</v>
      </c>
      <c r="C648" s="28" t="str">
        <f>VLOOKUP(Budgeted_Time[[#This Row],[Client]],Costing[],MATCH("IAS Team",Costing[#Headers],0),0)</f>
        <v>Rachel</v>
      </c>
      <c r="D648" s="28">
        <f>VLOOKUP(Budgeted_Time[[#This Row],[Client]],Costing[],MATCH("Minutes/IAS",Costing[#Headers],0),0)</f>
        <v>30</v>
      </c>
    </row>
    <row r="649" spans="1:4" x14ac:dyDescent="0.2">
      <c r="A649" s="10" t="s">
        <v>70</v>
      </c>
      <c r="B649" s="10" t="s">
        <v>261</v>
      </c>
      <c r="C649" s="28" t="str">
        <f>VLOOKUP(Budgeted_Time[[#This Row],[Client]],Costing[],MATCH("EOFY Team 1",Costing[#Headers],0),0)</f>
        <v>Laurence</v>
      </c>
      <c r="D649" s="28">
        <f>VLOOKUP(Budgeted_Time[[#This Row],[Client]],Costing[],MATCH("Time Min 1",Costing[#Headers],0),0)</f>
        <v>120</v>
      </c>
    </row>
    <row r="650" spans="1:4" x14ac:dyDescent="0.2">
      <c r="A650" s="10" t="s">
        <v>70</v>
      </c>
      <c r="B650" s="10" t="s">
        <v>279</v>
      </c>
      <c r="C650" s="28" t="str">
        <f>VLOOKUP(Budgeted_Time[[#This Row],[Client]],Costing[],MATCH("EOFY Team 2",Costing[#Headers],0),0)</f>
        <v>Rachel</v>
      </c>
      <c r="D650" s="28">
        <f>VLOOKUP(Budgeted_Time[[#This Row],[Client]],Costing[],MATCH("Time Min 2",Costing[#Headers],0),0)</f>
        <v>120</v>
      </c>
    </row>
    <row r="651" spans="1:4" x14ac:dyDescent="0.2">
      <c r="A651" s="10" t="s">
        <v>70</v>
      </c>
      <c r="B651" s="10" t="s">
        <v>294</v>
      </c>
      <c r="C651" s="28" t="str">
        <f>VLOOKUP(Budgeted_Time[[#This Row],[Client]],Costing[],MATCH("Onboarding Team",Costing[#Headers],0),0)</f>
        <v>Laurence</v>
      </c>
      <c r="D651" s="28">
        <f>VLOOKUP(Budgeted_Time[[#This Row],[Client]],Costing[],MATCH("Onboarding Minutes",Costing[#Headers],0),0)</f>
        <v>535.5</v>
      </c>
    </row>
    <row r="652" spans="1:4" x14ac:dyDescent="0.2">
      <c r="A652" s="10" t="s">
        <v>71</v>
      </c>
      <c r="B652" s="10" t="s">
        <v>145</v>
      </c>
      <c r="C652" s="28" t="str">
        <f>VLOOKUP(Budgeted_Time[[#This Row],[Client]],Costing[],MATCH("Payroll Team",Costing[#Headers],0),0)</f>
        <v>Rachel</v>
      </c>
      <c r="D652" s="28">
        <f>VLOOKUP(Budgeted_Time[[#This Row],[Client]],Costing[],MATCH("Minutes/Pay Run",Costing[#Headers],0),0)</f>
        <v>35</v>
      </c>
    </row>
    <row r="653" spans="1:4" x14ac:dyDescent="0.2">
      <c r="A653" s="10" t="s">
        <v>71</v>
      </c>
      <c r="B653" s="10" t="s">
        <v>176</v>
      </c>
      <c r="C653" s="28" t="str">
        <f>VLOOKUP(Budgeted_Time[[#This Row],[Client]],Costing[],MATCH("Super Team",Costing[#Headers],0),0)</f>
        <v>Rachel</v>
      </c>
      <c r="D653" s="28">
        <f>VLOOKUP(Budgeted_Time[[#This Row],[Client]],Costing[],MATCH("Minutes/Super",Costing[#Headers],0),0)</f>
        <v>15</v>
      </c>
    </row>
    <row r="654" spans="1:4" x14ac:dyDescent="0.2">
      <c r="A654" s="10" t="s">
        <v>71</v>
      </c>
      <c r="B654" s="10" t="s">
        <v>177</v>
      </c>
      <c r="C654" s="28" t="str">
        <f>VLOOKUP(Budgeted_Time[[#This Row],[Client]],Costing[],MATCH("Bookkeeping Team",Costing[#Headers],0),0)</f>
        <v>Rachel</v>
      </c>
      <c r="D654" s="28">
        <f>VLOOKUP(Budgeted_Time[[#This Row],[Client]],Costing[],MATCH("Minutes/Activity",Costing[#Headers],0),0)</f>
        <v>300</v>
      </c>
    </row>
    <row r="655" spans="1:4" x14ac:dyDescent="0.2">
      <c r="A655" s="10" t="s">
        <v>71</v>
      </c>
      <c r="B655" s="10" t="s">
        <v>178</v>
      </c>
      <c r="C655" s="28" t="str">
        <f>VLOOKUP(Budgeted_Time[[#This Row],[Client]],Costing[],MATCH("Reporting Team",Costing[#Headers],0),0)</f>
        <v>Laurence</v>
      </c>
      <c r="D655" s="28">
        <f>VLOOKUP(Budgeted_Time[[#This Row],[Client]],Costing[],MATCH("Minutes/Report",Costing[#Headers],0),0)</f>
        <v>150</v>
      </c>
    </row>
    <row r="656" spans="1:4" x14ac:dyDescent="0.2">
      <c r="A656" s="10" t="s">
        <v>71</v>
      </c>
      <c r="B656" s="10" t="s">
        <v>179</v>
      </c>
      <c r="C656" s="28" t="str">
        <f>VLOOKUP(Budgeted_Time[[#This Row],[Client]],Costing[],MATCH("BAS 1 Team",Costing[#Headers],0),0)</f>
        <v>Rachel</v>
      </c>
      <c r="D656" s="28">
        <f>VLOOKUP(Budgeted_Time[[#This Row],[Client]],Costing[],MATCH("Minutes/BAS 1",Costing[#Headers],0),0)</f>
        <v>60</v>
      </c>
    </row>
    <row r="657" spans="1:4" x14ac:dyDescent="0.2">
      <c r="A657" s="10" t="s">
        <v>71</v>
      </c>
      <c r="B657" s="10" t="s">
        <v>180</v>
      </c>
      <c r="C657" s="28" t="str">
        <f>VLOOKUP(Budgeted_Time[[#This Row],[Client]],Costing[],MATCH("BAS 2 Team",Costing[#Headers],0),0)</f>
        <v>Rachel</v>
      </c>
      <c r="D657" s="28">
        <f>VLOOKUP(Budgeted_Time[[#This Row],[Client]],Costing[],MATCH("Minutes/BAS 2",Costing[#Headers],0),0)</f>
        <v>15</v>
      </c>
    </row>
    <row r="658" spans="1:4" x14ac:dyDescent="0.2">
      <c r="A658" s="10" t="s">
        <v>71</v>
      </c>
      <c r="B658" s="10" t="s">
        <v>181</v>
      </c>
      <c r="C658" s="28" t="str">
        <f>VLOOKUP(Budgeted_Time[[#This Row],[Client]],Costing[],MATCH("IAS Team",Costing[#Headers],0),0)</f>
        <v>Rachel</v>
      </c>
      <c r="D658" s="28">
        <f>VLOOKUP(Budgeted_Time[[#This Row],[Client]],Costing[],MATCH("Minutes/IAS",Costing[#Headers],0),0)</f>
        <v>30</v>
      </c>
    </row>
    <row r="659" spans="1:4" x14ac:dyDescent="0.2">
      <c r="A659" s="10" t="s">
        <v>71</v>
      </c>
      <c r="B659" s="10" t="s">
        <v>261</v>
      </c>
      <c r="C659" s="28" t="str">
        <f>VLOOKUP(Budgeted_Time[[#This Row],[Client]],Costing[],MATCH("EOFY Team 1",Costing[#Headers],0),0)</f>
        <v>Laurence</v>
      </c>
      <c r="D659" s="28">
        <f>VLOOKUP(Budgeted_Time[[#This Row],[Client]],Costing[],MATCH("Time Min 1",Costing[#Headers],0),0)</f>
        <v>120</v>
      </c>
    </row>
    <row r="660" spans="1:4" x14ac:dyDescent="0.2">
      <c r="A660" s="10" t="s">
        <v>71</v>
      </c>
      <c r="B660" s="10" t="s">
        <v>279</v>
      </c>
      <c r="C660" s="28" t="str">
        <f>VLOOKUP(Budgeted_Time[[#This Row],[Client]],Costing[],MATCH("EOFY Team 2",Costing[#Headers],0),0)</f>
        <v>Rachel</v>
      </c>
      <c r="D660" s="28">
        <f>VLOOKUP(Budgeted_Time[[#This Row],[Client]],Costing[],MATCH("Time Min 2",Costing[#Headers],0),0)</f>
        <v>120</v>
      </c>
    </row>
    <row r="661" spans="1:4" x14ac:dyDescent="0.2">
      <c r="A661" s="10" t="s">
        <v>71</v>
      </c>
      <c r="B661" s="10" t="s">
        <v>294</v>
      </c>
      <c r="C661" s="28" t="str">
        <f>VLOOKUP(Budgeted_Time[[#This Row],[Client]],Costing[],MATCH("Onboarding Team",Costing[#Headers],0),0)</f>
        <v>Laurence</v>
      </c>
      <c r="D661" s="28">
        <f>VLOOKUP(Budgeted_Time[[#This Row],[Client]],Costing[],MATCH("Onboarding Minutes",Costing[#Headers],0),0)</f>
        <v>1785</v>
      </c>
    </row>
    <row r="662" spans="1:4" x14ac:dyDescent="0.2">
      <c r="A662" s="10" t="s">
        <v>72</v>
      </c>
      <c r="B662" s="10" t="s">
        <v>145</v>
      </c>
      <c r="C662" s="28">
        <f>VLOOKUP(Budgeted_Time[[#This Row],[Client]],Costing[],MATCH("Payroll Team",Costing[#Headers],0),0)</f>
        <v>0</v>
      </c>
      <c r="D662" s="28">
        <f>VLOOKUP(Budgeted_Time[[#This Row],[Client]],Costing[],MATCH("Minutes/Pay Run",Costing[#Headers],0),0)</f>
        <v>0</v>
      </c>
    </row>
    <row r="663" spans="1:4" x14ac:dyDescent="0.2">
      <c r="A663" s="10" t="s">
        <v>72</v>
      </c>
      <c r="B663" s="10" t="s">
        <v>176</v>
      </c>
      <c r="C663" s="28">
        <f>VLOOKUP(Budgeted_Time[[#This Row],[Client]],Costing[],MATCH("Super Team",Costing[#Headers],0),0)</f>
        <v>0</v>
      </c>
      <c r="D663" s="28">
        <f>VLOOKUP(Budgeted_Time[[#This Row],[Client]],Costing[],MATCH("Minutes/Super",Costing[#Headers],0),0)</f>
        <v>0</v>
      </c>
    </row>
    <row r="664" spans="1:4" x14ac:dyDescent="0.2">
      <c r="A664" s="10" t="s">
        <v>72</v>
      </c>
      <c r="B664" s="10" t="s">
        <v>177</v>
      </c>
      <c r="C664" s="28" t="str">
        <f>VLOOKUP(Budgeted_Time[[#This Row],[Client]],Costing[],MATCH("Bookkeeping Team",Costing[#Headers],0),0)</f>
        <v>Rachel</v>
      </c>
      <c r="D664" s="28">
        <f>VLOOKUP(Budgeted_Time[[#This Row],[Client]],Costing[],MATCH("Minutes/Activity",Costing[#Headers],0),0)</f>
        <v>30</v>
      </c>
    </row>
    <row r="665" spans="1:4" x14ac:dyDescent="0.2">
      <c r="A665" s="10" t="s">
        <v>72</v>
      </c>
      <c r="B665" s="10" t="s">
        <v>178</v>
      </c>
      <c r="C665" s="28">
        <f>VLOOKUP(Budgeted_Time[[#This Row],[Client]],Costing[],MATCH("Reporting Team",Costing[#Headers],0),0)</f>
        <v>0</v>
      </c>
      <c r="D665" s="28">
        <f>VLOOKUP(Budgeted_Time[[#This Row],[Client]],Costing[],MATCH("Minutes/Report",Costing[#Headers],0),0)</f>
        <v>0</v>
      </c>
    </row>
    <row r="666" spans="1:4" x14ac:dyDescent="0.2">
      <c r="A666" s="10" t="s">
        <v>72</v>
      </c>
      <c r="B666" s="10" t="s">
        <v>179</v>
      </c>
      <c r="C666" s="28" t="str">
        <f>VLOOKUP(Budgeted_Time[[#This Row],[Client]],Costing[],MATCH("BAS 1 Team",Costing[#Headers],0),0)</f>
        <v>Rachel</v>
      </c>
      <c r="D666" s="28">
        <f>VLOOKUP(Budgeted_Time[[#This Row],[Client]],Costing[],MATCH("Minutes/BAS 1",Costing[#Headers],0),0)</f>
        <v>60</v>
      </c>
    </row>
    <row r="667" spans="1:4" x14ac:dyDescent="0.2">
      <c r="A667" s="10" t="s">
        <v>72</v>
      </c>
      <c r="B667" s="10" t="s">
        <v>180</v>
      </c>
      <c r="C667" s="28" t="str">
        <f>VLOOKUP(Budgeted_Time[[#This Row],[Client]],Costing[],MATCH("BAS 2 Team",Costing[#Headers],0),0)</f>
        <v>Rachel</v>
      </c>
      <c r="D667" s="28">
        <f>VLOOKUP(Budgeted_Time[[#This Row],[Client]],Costing[],MATCH("Minutes/BAS 2",Costing[#Headers],0),0)</f>
        <v>15</v>
      </c>
    </row>
    <row r="668" spans="1:4" x14ac:dyDescent="0.2">
      <c r="A668" s="10" t="s">
        <v>72</v>
      </c>
      <c r="B668" s="10" t="s">
        <v>181</v>
      </c>
      <c r="C668" s="28">
        <f>VLOOKUP(Budgeted_Time[[#This Row],[Client]],Costing[],MATCH("IAS Team",Costing[#Headers],0),0)</f>
        <v>0</v>
      </c>
      <c r="D668" s="28">
        <f>VLOOKUP(Budgeted_Time[[#This Row],[Client]],Costing[],MATCH("Minutes/IAS",Costing[#Headers],0),0)</f>
        <v>0</v>
      </c>
    </row>
    <row r="669" spans="1:4" x14ac:dyDescent="0.2">
      <c r="A669" s="10" t="s">
        <v>72</v>
      </c>
      <c r="B669" s="10" t="s">
        <v>261</v>
      </c>
      <c r="C669" s="28" t="str">
        <f>VLOOKUP(Budgeted_Time[[#This Row],[Client]],Costing[],MATCH("EOFY Team 1",Costing[#Headers],0),0)</f>
        <v>Laurence</v>
      </c>
      <c r="D669" s="28">
        <f>VLOOKUP(Budgeted_Time[[#This Row],[Client]],Costing[],MATCH("Time Min 1",Costing[#Headers],0),0)</f>
        <v>60</v>
      </c>
    </row>
    <row r="670" spans="1:4" x14ac:dyDescent="0.2">
      <c r="A670" s="10" t="s">
        <v>72</v>
      </c>
      <c r="B670" s="10" t="s">
        <v>279</v>
      </c>
      <c r="C670" s="28">
        <f>VLOOKUP(Budgeted_Time[[#This Row],[Client]],Costing[],MATCH("EOFY Team 2",Costing[#Headers],0),0)</f>
        <v>0</v>
      </c>
      <c r="D670" s="28">
        <f>VLOOKUP(Budgeted_Time[[#This Row],[Client]],Costing[],MATCH("Time Min 2",Costing[#Headers],0),0)</f>
        <v>0</v>
      </c>
    </row>
    <row r="671" spans="1:4" x14ac:dyDescent="0.2">
      <c r="A671" s="10" t="s">
        <v>72</v>
      </c>
      <c r="B671" s="10" t="s">
        <v>294</v>
      </c>
      <c r="C671" s="28" t="str">
        <f>VLOOKUP(Budgeted_Time[[#This Row],[Client]],Costing[],MATCH("Onboarding Team",Costing[#Headers],0),0)</f>
        <v>Laurence</v>
      </c>
      <c r="D671" s="28">
        <f>VLOOKUP(Budgeted_Time[[#This Row],[Client]],Costing[],MATCH("Onboarding Minutes",Costing[#Headers],0),0)</f>
        <v>178.5</v>
      </c>
    </row>
    <row r="672" spans="1:4" x14ac:dyDescent="0.2">
      <c r="A672" s="10" t="s">
        <v>73</v>
      </c>
      <c r="B672" s="10" t="s">
        <v>145</v>
      </c>
      <c r="C672" s="28" t="str">
        <f>VLOOKUP(Budgeted_Time[[#This Row],[Client]],Costing[],MATCH("Payroll Team",Costing[#Headers],0),0)</f>
        <v>Kathryn</v>
      </c>
      <c r="D672" s="28">
        <f>VLOOKUP(Budgeted_Time[[#This Row],[Client]],Costing[],MATCH("Minutes/Pay Run",Costing[#Headers],0),0)</f>
        <v>15</v>
      </c>
    </row>
    <row r="673" spans="1:4" x14ac:dyDescent="0.2">
      <c r="A673" s="10" t="s">
        <v>73</v>
      </c>
      <c r="B673" s="10" t="s">
        <v>176</v>
      </c>
      <c r="C673" s="28" t="str">
        <f>VLOOKUP(Budgeted_Time[[#This Row],[Client]],Costing[],MATCH("Super Team",Costing[#Headers],0),0)</f>
        <v>Kathryn</v>
      </c>
      <c r="D673" s="28">
        <f>VLOOKUP(Budgeted_Time[[#This Row],[Client]],Costing[],MATCH("Minutes/Super",Costing[#Headers],0),0)</f>
        <v>15</v>
      </c>
    </row>
    <row r="674" spans="1:4" x14ac:dyDescent="0.2">
      <c r="A674" s="10" t="s">
        <v>73</v>
      </c>
      <c r="B674" s="10" t="s">
        <v>177</v>
      </c>
      <c r="C674" s="28" t="str">
        <f>VLOOKUP(Budgeted_Time[[#This Row],[Client]],Costing[],MATCH("Bookkeeping Team",Costing[#Headers],0),0)</f>
        <v>Kathryn</v>
      </c>
      <c r="D674" s="28">
        <f>VLOOKUP(Budgeted_Time[[#This Row],[Client]],Costing[],MATCH("Minutes/Activity",Costing[#Headers],0),0)</f>
        <v>200</v>
      </c>
    </row>
    <row r="675" spans="1:4" x14ac:dyDescent="0.2">
      <c r="A675" s="10" t="s">
        <v>73</v>
      </c>
      <c r="B675" s="10" t="s">
        <v>178</v>
      </c>
      <c r="C675" s="28" t="str">
        <f>VLOOKUP(Budgeted_Time[[#This Row],[Client]],Costing[],MATCH("Reporting Team",Costing[#Headers],0),0)</f>
        <v>Laurence</v>
      </c>
      <c r="D675" s="28">
        <f>VLOOKUP(Budgeted_Time[[#This Row],[Client]],Costing[],MATCH("Minutes/Report",Costing[#Headers],0),0)</f>
        <v>20</v>
      </c>
    </row>
    <row r="676" spans="1:4" x14ac:dyDescent="0.2">
      <c r="A676" s="10" t="s">
        <v>73</v>
      </c>
      <c r="B676" s="10" t="s">
        <v>179</v>
      </c>
      <c r="C676" s="28" t="str">
        <f>VLOOKUP(Budgeted_Time[[#This Row],[Client]],Costing[],MATCH("BAS 1 Team",Costing[#Headers],0),0)</f>
        <v>Kathryn</v>
      </c>
      <c r="D676" s="28">
        <f>VLOOKUP(Budgeted_Time[[#This Row],[Client]],Costing[],MATCH("Minutes/BAS 1",Costing[#Headers],0),0)</f>
        <v>60</v>
      </c>
    </row>
    <row r="677" spans="1:4" x14ac:dyDescent="0.2">
      <c r="A677" s="10" t="s">
        <v>73</v>
      </c>
      <c r="B677" s="10" t="s">
        <v>180</v>
      </c>
      <c r="C677" s="28" t="str">
        <f>VLOOKUP(Budgeted_Time[[#This Row],[Client]],Costing[],MATCH("BAS 2 Team",Costing[#Headers],0),0)</f>
        <v>Rachel</v>
      </c>
      <c r="D677" s="28">
        <f>VLOOKUP(Budgeted_Time[[#This Row],[Client]],Costing[],MATCH("Minutes/BAS 2",Costing[#Headers],0),0)</f>
        <v>15</v>
      </c>
    </row>
    <row r="678" spans="1:4" x14ac:dyDescent="0.2">
      <c r="A678" s="10" t="s">
        <v>73</v>
      </c>
      <c r="B678" s="10" t="s">
        <v>181</v>
      </c>
      <c r="C678" s="28">
        <f>VLOOKUP(Budgeted_Time[[#This Row],[Client]],Costing[],MATCH("IAS Team",Costing[#Headers],0),0)</f>
        <v>0</v>
      </c>
      <c r="D678" s="28">
        <f>VLOOKUP(Budgeted_Time[[#This Row],[Client]],Costing[],MATCH("Minutes/IAS",Costing[#Headers],0),0)</f>
        <v>0</v>
      </c>
    </row>
    <row r="679" spans="1:4" x14ac:dyDescent="0.2">
      <c r="A679" s="10" t="s">
        <v>73</v>
      </c>
      <c r="B679" s="10" t="s">
        <v>261</v>
      </c>
      <c r="C679" s="28" t="str">
        <f>VLOOKUP(Budgeted_Time[[#This Row],[Client]],Costing[],MATCH("EOFY Team 1",Costing[#Headers],0),0)</f>
        <v>Laurence</v>
      </c>
      <c r="D679" s="28">
        <f>VLOOKUP(Budgeted_Time[[#This Row],[Client]],Costing[],MATCH("Time Min 1",Costing[#Headers],0),0)</f>
        <v>120</v>
      </c>
    </row>
    <row r="680" spans="1:4" x14ac:dyDescent="0.2">
      <c r="A680" s="10" t="s">
        <v>73</v>
      </c>
      <c r="B680" s="10" t="s">
        <v>279</v>
      </c>
      <c r="C680" s="28" t="str">
        <f>VLOOKUP(Budgeted_Time[[#This Row],[Client]],Costing[],MATCH("EOFY Team 2",Costing[#Headers],0),0)</f>
        <v>Kathryn</v>
      </c>
      <c r="D680" s="28">
        <f>VLOOKUP(Budgeted_Time[[#This Row],[Client]],Costing[],MATCH("Time Min 2",Costing[#Headers],0),0)</f>
        <v>120</v>
      </c>
    </row>
    <row r="681" spans="1:4" x14ac:dyDescent="0.2">
      <c r="A681" s="10" t="s">
        <v>73</v>
      </c>
      <c r="B681" s="10" t="s">
        <v>294</v>
      </c>
      <c r="C681" s="28" t="str">
        <f>VLOOKUP(Budgeted_Time[[#This Row],[Client]],Costing[],MATCH("Onboarding Team",Costing[#Headers],0),0)</f>
        <v>Laurence</v>
      </c>
      <c r="D681" s="28">
        <f>VLOOKUP(Budgeted_Time[[#This Row],[Client]],Costing[],MATCH("Onboarding Minutes",Costing[#Headers],0),0)</f>
        <v>1190</v>
      </c>
    </row>
    <row r="682" spans="1:4" x14ac:dyDescent="0.2">
      <c r="A682" s="10" t="s">
        <v>74</v>
      </c>
      <c r="B682" s="10" t="s">
        <v>145</v>
      </c>
      <c r="C682" s="28">
        <f>VLOOKUP(Budgeted_Time[[#This Row],[Client]],Costing[],MATCH("Payroll Team",Costing[#Headers],0),0)</f>
        <v>0</v>
      </c>
      <c r="D682" s="28">
        <f>VLOOKUP(Budgeted_Time[[#This Row],[Client]],Costing[],MATCH("Minutes/Pay Run",Costing[#Headers],0),0)</f>
        <v>0</v>
      </c>
    </row>
    <row r="683" spans="1:4" x14ac:dyDescent="0.2">
      <c r="A683" s="10" t="s">
        <v>74</v>
      </c>
      <c r="B683" s="10" t="s">
        <v>176</v>
      </c>
      <c r="C683" s="28" t="str">
        <f>VLOOKUP(Budgeted_Time[[#This Row],[Client]],Costing[],MATCH("Super Team",Costing[#Headers],0),0)</f>
        <v>Kathleen</v>
      </c>
      <c r="D683" s="28">
        <f>VLOOKUP(Budgeted_Time[[#This Row],[Client]],Costing[],MATCH("Minutes/Super",Costing[#Headers],0),0)</f>
        <v>10</v>
      </c>
    </row>
    <row r="684" spans="1:4" x14ac:dyDescent="0.2">
      <c r="A684" s="10" t="s">
        <v>74</v>
      </c>
      <c r="B684" s="10" t="s">
        <v>177</v>
      </c>
      <c r="C684" s="28" t="str">
        <f>VLOOKUP(Budgeted_Time[[#This Row],[Client]],Costing[],MATCH("Bookkeeping Team",Costing[#Headers],0),0)</f>
        <v>Kathleen</v>
      </c>
      <c r="D684" s="28">
        <f>VLOOKUP(Budgeted_Time[[#This Row],[Client]],Costing[],MATCH("Minutes/Activity",Costing[#Headers],0),0)</f>
        <v>100</v>
      </c>
    </row>
    <row r="685" spans="1:4" x14ac:dyDescent="0.2">
      <c r="A685" s="10" t="s">
        <v>74</v>
      </c>
      <c r="B685" s="10" t="s">
        <v>178</v>
      </c>
      <c r="C685" s="28" t="str">
        <f>VLOOKUP(Budgeted_Time[[#This Row],[Client]],Costing[],MATCH("Reporting Team",Costing[#Headers],0),0)</f>
        <v>Kim</v>
      </c>
      <c r="D685" s="28">
        <f>VLOOKUP(Budgeted_Time[[#This Row],[Client]],Costing[],MATCH("Minutes/Report",Costing[#Headers],0),0)</f>
        <v>20</v>
      </c>
    </row>
    <row r="686" spans="1:4" x14ac:dyDescent="0.2">
      <c r="A686" s="10" t="s">
        <v>74</v>
      </c>
      <c r="B686" s="10" t="s">
        <v>179</v>
      </c>
      <c r="C686" s="28" t="str">
        <f>VLOOKUP(Budgeted_Time[[#This Row],[Client]],Costing[],MATCH("BAS 1 Team",Costing[#Headers],0),0)</f>
        <v>Kathleen</v>
      </c>
      <c r="D686" s="28">
        <f>VLOOKUP(Budgeted_Time[[#This Row],[Client]],Costing[],MATCH("Minutes/BAS 1",Costing[#Headers],0),0)</f>
        <v>60</v>
      </c>
    </row>
    <row r="687" spans="1:4" x14ac:dyDescent="0.2">
      <c r="A687" s="10" t="s">
        <v>74</v>
      </c>
      <c r="B687" s="10" t="s">
        <v>180</v>
      </c>
      <c r="C687" s="28" t="str">
        <f>VLOOKUP(Budgeted_Time[[#This Row],[Client]],Costing[],MATCH("BAS 2 Team",Costing[#Headers],0),0)</f>
        <v>Rachel</v>
      </c>
      <c r="D687" s="28">
        <f>VLOOKUP(Budgeted_Time[[#This Row],[Client]],Costing[],MATCH("Minutes/BAS 2",Costing[#Headers],0),0)</f>
        <v>15</v>
      </c>
    </row>
    <row r="688" spans="1:4" x14ac:dyDescent="0.2">
      <c r="A688" s="10" t="s">
        <v>74</v>
      </c>
      <c r="B688" s="10" t="s">
        <v>181</v>
      </c>
      <c r="C688" s="28" t="str">
        <f>VLOOKUP(Budgeted_Time[[#This Row],[Client]],Costing[],MATCH("IAS Team",Costing[#Headers],0),0)</f>
        <v>Rachel</v>
      </c>
      <c r="D688" s="28">
        <f>VLOOKUP(Budgeted_Time[[#This Row],[Client]],Costing[],MATCH("Minutes/IAS",Costing[#Headers],0),0)</f>
        <v>30</v>
      </c>
    </row>
    <row r="689" spans="1:4" x14ac:dyDescent="0.2">
      <c r="A689" s="10" t="s">
        <v>74</v>
      </c>
      <c r="B689" s="10" t="s">
        <v>261</v>
      </c>
      <c r="C689" s="28" t="str">
        <f>VLOOKUP(Budgeted_Time[[#This Row],[Client]],Costing[],MATCH("EOFY Team 1",Costing[#Headers],0),0)</f>
        <v>Kim</v>
      </c>
      <c r="D689" s="28">
        <f>VLOOKUP(Budgeted_Time[[#This Row],[Client]],Costing[],MATCH("Time Min 1",Costing[#Headers],0),0)</f>
        <v>200</v>
      </c>
    </row>
    <row r="690" spans="1:4" x14ac:dyDescent="0.2">
      <c r="A690" s="10" t="s">
        <v>74</v>
      </c>
      <c r="B690" s="10" t="s">
        <v>279</v>
      </c>
      <c r="C690" s="28" t="str">
        <f>VLOOKUP(Budgeted_Time[[#This Row],[Client]],Costing[],MATCH("EOFY Team 2",Costing[#Headers],0),0)</f>
        <v>Kathleen</v>
      </c>
      <c r="D690" s="28">
        <f>VLOOKUP(Budgeted_Time[[#This Row],[Client]],Costing[],MATCH("Time Min 2",Costing[#Headers],0),0)</f>
        <v>180</v>
      </c>
    </row>
    <row r="691" spans="1:4" x14ac:dyDescent="0.2">
      <c r="A691" s="10" t="s">
        <v>74</v>
      </c>
      <c r="B691" s="10" t="s">
        <v>294</v>
      </c>
      <c r="C691" s="28" t="str">
        <f>VLOOKUP(Budgeted_Time[[#This Row],[Client]],Costing[],MATCH("Onboarding Team",Costing[#Headers],0),0)</f>
        <v>Kim</v>
      </c>
      <c r="D691" s="28">
        <f>VLOOKUP(Budgeted_Time[[#This Row],[Client]],Costing[],MATCH("Onboarding Minutes",Costing[#Headers],0),0)</f>
        <v>595</v>
      </c>
    </row>
    <row r="692" spans="1:4" x14ac:dyDescent="0.2">
      <c r="A692" s="10" t="s">
        <v>75</v>
      </c>
      <c r="B692" s="10" t="s">
        <v>145</v>
      </c>
      <c r="C692" s="28">
        <f>VLOOKUP(Budgeted_Time[[#This Row],[Client]],Costing[],MATCH("Payroll Team",Costing[#Headers],0),0)</f>
        <v>0</v>
      </c>
      <c r="D692" s="28">
        <f>VLOOKUP(Budgeted_Time[[#This Row],[Client]],Costing[],MATCH("Minutes/Pay Run",Costing[#Headers],0),0)</f>
        <v>0</v>
      </c>
    </row>
    <row r="693" spans="1:4" x14ac:dyDescent="0.2">
      <c r="A693" s="10" t="s">
        <v>75</v>
      </c>
      <c r="B693" s="10" t="s">
        <v>176</v>
      </c>
      <c r="C693" s="28">
        <f>VLOOKUP(Budgeted_Time[[#This Row],[Client]],Costing[],MATCH("Super Team",Costing[#Headers],0),0)</f>
        <v>0</v>
      </c>
      <c r="D693" s="28">
        <f>VLOOKUP(Budgeted_Time[[#This Row],[Client]],Costing[],MATCH("Minutes/Super",Costing[#Headers],0),0)</f>
        <v>0</v>
      </c>
    </row>
    <row r="694" spans="1:4" x14ac:dyDescent="0.2">
      <c r="A694" s="10" t="s">
        <v>75</v>
      </c>
      <c r="B694" s="10" t="s">
        <v>177</v>
      </c>
      <c r="C694" s="28" t="str">
        <f>VLOOKUP(Budgeted_Time[[#This Row],[Client]],Costing[],MATCH("Bookkeeping Team",Costing[#Headers],0),0)</f>
        <v>Rachel</v>
      </c>
      <c r="D694" s="28">
        <f>VLOOKUP(Budgeted_Time[[#This Row],[Client]],Costing[],MATCH("Minutes/Activity",Costing[#Headers],0),0)</f>
        <v>20</v>
      </c>
    </row>
    <row r="695" spans="1:4" x14ac:dyDescent="0.2">
      <c r="A695" s="10" t="s">
        <v>75</v>
      </c>
      <c r="B695" s="10" t="s">
        <v>178</v>
      </c>
      <c r="C695" s="28">
        <f>VLOOKUP(Budgeted_Time[[#This Row],[Client]],Costing[],MATCH("Reporting Team",Costing[#Headers],0),0)</f>
        <v>0</v>
      </c>
      <c r="D695" s="28">
        <f>VLOOKUP(Budgeted_Time[[#This Row],[Client]],Costing[],MATCH("Minutes/Report",Costing[#Headers],0),0)</f>
        <v>0</v>
      </c>
    </row>
    <row r="696" spans="1:4" x14ac:dyDescent="0.2">
      <c r="A696" s="10" t="s">
        <v>75</v>
      </c>
      <c r="B696" s="10" t="s">
        <v>179</v>
      </c>
      <c r="C696" s="28">
        <f>VLOOKUP(Budgeted_Time[[#This Row],[Client]],Costing[],MATCH("BAS 1 Team",Costing[#Headers],0),0)</f>
        <v>0</v>
      </c>
      <c r="D696" s="28">
        <f>VLOOKUP(Budgeted_Time[[#This Row],[Client]],Costing[],MATCH("Minutes/BAS 1",Costing[#Headers],0),0)</f>
        <v>0</v>
      </c>
    </row>
    <row r="697" spans="1:4" x14ac:dyDescent="0.2">
      <c r="A697" s="10" t="s">
        <v>75</v>
      </c>
      <c r="B697" s="10" t="s">
        <v>180</v>
      </c>
      <c r="C697" s="28">
        <f>VLOOKUP(Budgeted_Time[[#This Row],[Client]],Costing[],MATCH("BAS 2 Team",Costing[#Headers],0),0)</f>
        <v>0</v>
      </c>
      <c r="D697" s="28">
        <f>VLOOKUP(Budgeted_Time[[#This Row],[Client]],Costing[],MATCH("Minutes/BAS 2",Costing[#Headers],0),0)</f>
        <v>0</v>
      </c>
    </row>
    <row r="698" spans="1:4" x14ac:dyDescent="0.2">
      <c r="A698" s="10" t="s">
        <v>75</v>
      </c>
      <c r="B698" s="10" t="s">
        <v>181</v>
      </c>
      <c r="C698" s="28">
        <f>VLOOKUP(Budgeted_Time[[#This Row],[Client]],Costing[],MATCH("IAS Team",Costing[#Headers],0),0)</f>
        <v>0</v>
      </c>
      <c r="D698" s="28">
        <f>VLOOKUP(Budgeted_Time[[#This Row],[Client]],Costing[],MATCH("Minutes/IAS",Costing[#Headers],0),0)</f>
        <v>0</v>
      </c>
    </row>
    <row r="699" spans="1:4" x14ac:dyDescent="0.2">
      <c r="A699" s="10" t="s">
        <v>75</v>
      </c>
      <c r="B699" s="10" t="s">
        <v>261</v>
      </c>
      <c r="C699" s="28" t="str">
        <f>VLOOKUP(Budgeted_Time[[#This Row],[Client]],Costing[],MATCH("EOFY Team 1",Costing[#Headers],0),0)</f>
        <v>Kim</v>
      </c>
      <c r="D699" s="28">
        <f>VLOOKUP(Budgeted_Time[[#This Row],[Client]],Costing[],MATCH("Time Min 1",Costing[#Headers],0),0)</f>
        <v>30</v>
      </c>
    </row>
    <row r="700" spans="1:4" x14ac:dyDescent="0.2">
      <c r="A700" s="10" t="s">
        <v>75</v>
      </c>
      <c r="B700" s="10" t="s">
        <v>279</v>
      </c>
      <c r="C700" s="28" t="str">
        <f>VLOOKUP(Budgeted_Time[[#This Row],[Client]],Costing[],MATCH("EOFY Team 2",Costing[#Headers],0),0)</f>
        <v>Rachel</v>
      </c>
      <c r="D700" s="28">
        <f>VLOOKUP(Budgeted_Time[[#This Row],[Client]],Costing[],MATCH("Time Min 2",Costing[#Headers],0),0)</f>
        <v>30</v>
      </c>
    </row>
    <row r="701" spans="1:4" x14ac:dyDescent="0.2">
      <c r="A701" s="10" t="s">
        <v>75</v>
      </c>
      <c r="B701" s="10" t="s">
        <v>294</v>
      </c>
      <c r="C701" s="28" t="str">
        <f>VLOOKUP(Budgeted_Time[[#This Row],[Client]],Costing[],MATCH("Onboarding Team",Costing[#Headers],0),0)</f>
        <v>Kim</v>
      </c>
      <c r="D701" s="28">
        <f>VLOOKUP(Budgeted_Time[[#This Row],[Client]],Costing[],MATCH("Onboarding Minutes",Costing[#Headers],0),0)</f>
        <v>119</v>
      </c>
    </row>
    <row r="702" spans="1:4" x14ac:dyDescent="0.2">
      <c r="A702" s="10" t="s">
        <v>77</v>
      </c>
      <c r="B702" s="10" t="s">
        <v>145</v>
      </c>
      <c r="C702" s="28" t="str">
        <f>VLOOKUP(Budgeted_Time[[#This Row],[Client]],Costing[],MATCH("Payroll Team",Costing[#Headers],0),0)</f>
        <v>Rachel</v>
      </c>
      <c r="D702" s="28">
        <f>VLOOKUP(Budgeted_Time[[#This Row],[Client]],Costing[],MATCH("Minutes/Pay Run",Costing[#Headers],0),0)</f>
        <v>15</v>
      </c>
    </row>
    <row r="703" spans="1:4" x14ac:dyDescent="0.2">
      <c r="A703" s="10" t="s">
        <v>77</v>
      </c>
      <c r="B703" s="10" t="s">
        <v>176</v>
      </c>
      <c r="C703" s="28">
        <f>VLOOKUP(Budgeted_Time[[#This Row],[Client]],Costing[],MATCH("Super Team",Costing[#Headers],0),0)</f>
        <v>0</v>
      </c>
      <c r="D703" s="28">
        <f>VLOOKUP(Budgeted_Time[[#This Row],[Client]],Costing[],MATCH("Minutes/Super",Costing[#Headers],0),0)</f>
        <v>0</v>
      </c>
    </row>
    <row r="704" spans="1:4" x14ac:dyDescent="0.2">
      <c r="A704" s="10" t="s">
        <v>77</v>
      </c>
      <c r="B704" s="10" t="s">
        <v>177</v>
      </c>
      <c r="C704" s="28" t="str">
        <f>VLOOKUP(Budgeted_Time[[#This Row],[Client]],Costing[],MATCH("Bookkeeping Team",Costing[#Headers],0),0)</f>
        <v>Rachel</v>
      </c>
      <c r="D704" s="28">
        <f>VLOOKUP(Budgeted_Time[[#This Row],[Client]],Costing[],MATCH("Minutes/Activity",Costing[#Headers],0),0)</f>
        <v>1200</v>
      </c>
    </row>
    <row r="705" spans="1:4" x14ac:dyDescent="0.2">
      <c r="A705" s="10" t="s">
        <v>77</v>
      </c>
      <c r="B705" s="10" t="s">
        <v>178</v>
      </c>
      <c r="C705" s="28" t="str">
        <f>VLOOKUP(Budgeted_Time[[#This Row],[Client]],Costing[],MATCH("Reporting Team",Costing[#Headers],0),0)</f>
        <v>Kim</v>
      </c>
      <c r="D705" s="28">
        <f>VLOOKUP(Budgeted_Time[[#This Row],[Client]],Costing[],MATCH("Minutes/Report",Costing[#Headers],0),0)</f>
        <v>60</v>
      </c>
    </row>
    <row r="706" spans="1:4" x14ac:dyDescent="0.2">
      <c r="A706" s="10" t="s">
        <v>77</v>
      </c>
      <c r="B706" s="10" t="s">
        <v>179</v>
      </c>
      <c r="C706" s="28" t="str">
        <f>VLOOKUP(Budgeted_Time[[#This Row],[Client]],Costing[],MATCH("BAS 1 Team",Costing[#Headers],0),0)</f>
        <v>Rachel</v>
      </c>
      <c r="D706" s="28">
        <f>VLOOKUP(Budgeted_Time[[#This Row],[Client]],Costing[],MATCH("Minutes/BAS 1",Costing[#Headers],0),0)</f>
        <v>60</v>
      </c>
    </row>
    <row r="707" spans="1:4" x14ac:dyDescent="0.2">
      <c r="A707" s="10" t="s">
        <v>77</v>
      </c>
      <c r="B707" s="10" t="s">
        <v>180</v>
      </c>
      <c r="C707" s="28" t="str">
        <f>VLOOKUP(Budgeted_Time[[#This Row],[Client]],Costing[],MATCH("BAS 2 Team",Costing[#Headers],0),0)</f>
        <v>Rachel</v>
      </c>
      <c r="D707" s="28">
        <f>VLOOKUP(Budgeted_Time[[#This Row],[Client]],Costing[],MATCH("Minutes/BAS 2",Costing[#Headers],0),0)</f>
        <v>15</v>
      </c>
    </row>
    <row r="708" spans="1:4" x14ac:dyDescent="0.2">
      <c r="A708" s="10" t="s">
        <v>77</v>
      </c>
      <c r="B708" s="10" t="s">
        <v>181</v>
      </c>
      <c r="C708" s="28" t="str">
        <f>VLOOKUP(Budgeted_Time[[#This Row],[Client]],Costing[],MATCH("IAS Team",Costing[#Headers],0),0)</f>
        <v>Rachel</v>
      </c>
      <c r="D708" s="28">
        <f>VLOOKUP(Budgeted_Time[[#This Row],[Client]],Costing[],MATCH("Minutes/IAS",Costing[#Headers],0),0)</f>
        <v>30</v>
      </c>
    </row>
    <row r="709" spans="1:4" x14ac:dyDescent="0.2">
      <c r="A709" s="10" t="s">
        <v>77</v>
      </c>
      <c r="B709" s="10" t="s">
        <v>261</v>
      </c>
      <c r="C709" s="28" t="str">
        <f>VLOOKUP(Budgeted_Time[[#This Row],[Client]],Costing[],MATCH("EOFY Team 1",Costing[#Headers],0),0)</f>
        <v>Rachel</v>
      </c>
      <c r="D709" s="28">
        <f>VLOOKUP(Budgeted_Time[[#This Row],[Client]],Costing[],MATCH("Time Min 1",Costing[#Headers],0),0)</f>
        <v>120</v>
      </c>
    </row>
    <row r="710" spans="1:4" x14ac:dyDescent="0.2">
      <c r="A710" s="10" t="s">
        <v>77</v>
      </c>
      <c r="B710" s="10" t="s">
        <v>279</v>
      </c>
      <c r="C710" s="28" t="str">
        <f>VLOOKUP(Budgeted_Time[[#This Row],[Client]],Costing[],MATCH("EOFY Team 2",Costing[#Headers],0),0)</f>
        <v>Kim</v>
      </c>
      <c r="D710" s="28">
        <f>VLOOKUP(Budgeted_Time[[#This Row],[Client]],Costing[],MATCH("Time Min 2",Costing[#Headers],0),0)</f>
        <v>60</v>
      </c>
    </row>
    <row r="711" spans="1:4" x14ac:dyDescent="0.2">
      <c r="A711" s="10" t="s">
        <v>77</v>
      </c>
      <c r="B711" s="10" t="s">
        <v>294</v>
      </c>
      <c r="C711" s="28" t="str">
        <f>VLOOKUP(Budgeted_Time[[#This Row],[Client]],Costing[],MATCH("Onboarding Team",Costing[#Headers],0),0)</f>
        <v>Kim</v>
      </c>
      <c r="D711" s="28">
        <f>VLOOKUP(Budgeted_Time[[#This Row],[Client]],Costing[],MATCH("Onboarding Minutes",Costing[#Headers],0),0)</f>
        <v>7140</v>
      </c>
    </row>
    <row r="712" spans="1:4" x14ac:dyDescent="0.2">
      <c r="A712" s="10" t="s">
        <v>78</v>
      </c>
      <c r="B712" s="10" t="s">
        <v>145</v>
      </c>
      <c r="C712" s="28" t="str">
        <f>VLOOKUP(Budgeted_Time[[#This Row],[Client]],Costing[],MATCH("Payroll Team",Costing[#Headers],0),0)</f>
        <v>Kathryn</v>
      </c>
      <c r="D712" s="28">
        <f>VLOOKUP(Budgeted_Time[[#This Row],[Client]],Costing[],MATCH("Minutes/Pay Run",Costing[#Headers],0),0)</f>
        <v>20</v>
      </c>
    </row>
    <row r="713" spans="1:4" x14ac:dyDescent="0.2">
      <c r="A713" s="10" t="s">
        <v>78</v>
      </c>
      <c r="B713" s="10" t="s">
        <v>176</v>
      </c>
      <c r="C713" s="28" t="str">
        <f>VLOOKUP(Budgeted_Time[[#This Row],[Client]],Costing[],MATCH("Super Team",Costing[#Headers],0),0)</f>
        <v>Kathryn</v>
      </c>
      <c r="D713" s="28">
        <f>VLOOKUP(Budgeted_Time[[#This Row],[Client]],Costing[],MATCH("Minutes/Super",Costing[#Headers],0),0)</f>
        <v>15</v>
      </c>
    </row>
    <row r="714" spans="1:4" x14ac:dyDescent="0.2">
      <c r="A714" s="10" t="s">
        <v>78</v>
      </c>
      <c r="B714" s="10" t="s">
        <v>177</v>
      </c>
      <c r="C714" s="28" t="str">
        <f>VLOOKUP(Budgeted_Time[[#This Row],[Client]],Costing[],MATCH("Bookkeeping Team",Costing[#Headers],0),0)</f>
        <v>Kathryn</v>
      </c>
      <c r="D714" s="28">
        <f>VLOOKUP(Budgeted_Time[[#This Row],[Client]],Costing[],MATCH("Minutes/Activity",Costing[#Headers],0),0)</f>
        <v>60</v>
      </c>
    </row>
    <row r="715" spans="1:4" x14ac:dyDescent="0.2">
      <c r="A715" s="10" t="s">
        <v>78</v>
      </c>
      <c r="B715" s="10" t="s">
        <v>178</v>
      </c>
      <c r="C715" s="28" t="str">
        <f>VLOOKUP(Budgeted_Time[[#This Row],[Client]],Costing[],MATCH("Reporting Team",Costing[#Headers],0),0)</f>
        <v>Kim</v>
      </c>
      <c r="D715" s="28">
        <f>VLOOKUP(Budgeted_Time[[#This Row],[Client]],Costing[],MATCH("Minutes/Report",Costing[#Headers],0),0)</f>
        <v>10</v>
      </c>
    </row>
    <row r="716" spans="1:4" x14ac:dyDescent="0.2">
      <c r="A716" s="10" t="s">
        <v>78</v>
      </c>
      <c r="B716" s="10" t="s">
        <v>179</v>
      </c>
      <c r="C716" s="28" t="str">
        <f>VLOOKUP(Budgeted_Time[[#This Row],[Client]],Costing[],MATCH("BAS 1 Team",Costing[#Headers],0),0)</f>
        <v>Kathleen</v>
      </c>
      <c r="D716" s="28">
        <f>VLOOKUP(Budgeted_Time[[#This Row],[Client]],Costing[],MATCH("Minutes/BAS 1",Costing[#Headers],0),0)</f>
        <v>60</v>
      </c>
    </row>
    <row r="717" spans="1:4" x14ac:dyDescent="0.2">
      <c r="A717" s="10" t="s">
        <v>78</v>
      </c>
      <c r="B717" s="10" t="s">
        <v>180</v>
      </c>
      <c r="C717" s="28" t="str">
        <f>VLOOKUP(Budgeted_Time[[#This Row],[Client]],Costing[],MATCH("BAS 2 Team",Costing[#Headers],0),0)</f>
        <v>Rachel</v>
      </c>
      <c r="D717" s="28">
        <f>VLOOKUP(Budgeted_Time[[#This Row],[Client]],Costing[],MATCH("Minutes/BAS 2",Costing[#Headers],0),0)</f>
        <v>15</v>
      </c>
    </row>
    <row r="718" spans="1:4" x14ac:dyDescent="0.2">
      <c r="A718" s="10" t="s">
        <v>78</v>
      </c>
      <c r="B718" s="10" t="s">
        <v>181</v>
      </c>
      <c r="C718" s="28">
        <f>VLOOKUP(Budgeted_Time[[#This Row],[Client]],Costing[],MATCH("IAS Team",Costing[#Headers],0),0)</f>
        <v>0</v>
      </c>
      <c r="D718" s="28">
        <f>VLOOKUP(Budgeted_Time[[#This Row],[Client]],Costing[],MATCH("Minutes/IAS",Costing[#Headers],0),0)</f>
        <v>0</v>
      </c>
    </row>
    <row r="719" spans="1:4" x14ac:dyDescent="0.2">
      <c r="A719" s="10" t="s">
        <v>78</v>
      </c>
      <c r="B719" s="10" t="s">
        <v>261</v>
      </c>
      <c r="C719" s="28" t="str">
        <f>VLOOKUP(Budgeted_Time[[#This Row],[Client]],Costing[],MATCH("EOFY Team 1",Costing[#Headers],0),0)</f>
        <v>Kim</v>
      </c>
      <c r="D719" s="28">
        <f>VLOOKUP(Budgeted_Time[[#This Row],[Client]],Costing[],MATCH("Time Min 1",Costing[#Headers],0),0)</f>
        <v>60</v>
      </c>
    </row>
    <row r="720" spans="1:4" x14ac:dyDescent="0.2">
      <c r="A720" s="10" t="s">
        <v>78</v>
      </c>
      <c r="B720" s="10" t="s">
        <v>279</v>
      </c>
      <c r="C720" s="28" t="str">
        <f>VLOOKUP(Budgeted_Time[[#This Row],[Client]],Costing[],MATCH("EOFY Team 2",Costing[#Headers],0),0)</f>
        <v>Kathryn</v>
      </c>
      <c r="D720" s="28">
        <f>VLOOKUP(Budgeted_Time[[#This Row],[Client]],Costing[],MATCH("Time Min 2",Costing[#Headers],0),0)</f>
        <v>60</v>
      </c>
    </row>
    <row r="721" spans="1:4" x14ac:dyDescent="0.2">
      <c r="A721" s="10" t="s">
        <v>78</v>
      </c>
      <c r="B721" s="10" t="s">
        <v>294</v>
      </c>
      <c r="C721" s="28" t="str">
        <f>VLOOKUP(Budgeted_Time[[#This Row],[Client]],Costing[],MATCH("Onboarding Team",Costing[#Headers],0),0)</f>
        <v>Kim</v>
      </c>
      <c r="D721" s="28">
        <f>VLOOKUP(Budgeted_Time[[#This Row],[Client]],Costing[],MATCH("Onboarding Minutes",Costing[#Headers],0),0)</f>
        <v>357</v>
      </c>
    </row>
    <row r="722" spans="1:4" x14ac:dyDescent="0.2">
      <c r="A722" s="10" t="s">
        <v>79</v>
      </c>
      <c r="B722" s="10" t="s">
        <v>145</v>
      </c>
      <c r="C722" s="28">
        <f>VLOOKUP(Budgeted_Time[[#This Row],[Client]],Costing[],MATCH("Payroll Team",Costing[#Headers],0),0)</f>
        <v>0</v>
      </c>
      <c r="D722" s="28">
        <f>VLOOKUP(Budgeted_Time[[#This Row],[Client]],Costing[],MATCH("Minutes/Pay Run",Costing[#Headers],0),0)</f>
        <v>0</v>
      </c>
    </row>
    <row r="723" spans="1:4" x14ac:dyDescent="0.2">
      <c r="A723" s="10" t="s">
        <v>79</v>
      </c>
      <c r="B723" s="10" t="s">
        <v>176</v>
      </c>
      <c r="C723" s="28" t="str">
        <f>VLOOKUP(Budgeted_Time[[#This Row],[Client]],Costing[],MATCH("Super Team",Costing[#Headers],0),0)</f>
        <v>Joanna</v>
      </c>
      <c r="D723" s="28">
        <f>VLOOKUP(Budgeted_Time[[#This Row],[Client]],Costing[],MATCH("Minutes/Super",Costing[#Headers],0),0)</f>
        <v>15</v>
      </c>
    </row>
    <row r="724" spans="1:4" x14ac:dyDescent="0.2">
      <c r="A724" s="10" t="s">
        <v>79</v>
      </c>
      <c r="B724" s="10" t="s">
        <v>177</v>
      </c>
      <c r="C724" s="28" t="str">
        <f>VLOOKUP(Budgeted_Time[[#This Row],[Client]],Costing[],MATCH("Bookkeeping Team",Costing[#Headers],0),0)</f>
        <v>Joanna</v>
      </c>
      <c r="D724" s="28">
        <f>VLOOKUP(Budgeted_Time[[#This Row],[Client]],Costing[],MATCH("Minutes/Activity",Costing[#Headers],0),0)</f>
        <v>150</v>
      </c>
    </row>
    <row r="725" spans="1:4" x14ac:dyDescent="0.2">
      <c r="A725" s="10" t="s">
        <v>79</v>
      </c>
      <c r="B725" s="10" t="s">
        <v>178</v>
      </c>
      <c r="C725" s="28" t="str">
        <f>VLOOKUP(Budgeted_Time[[#This Row],[Client]],Costing[],MATCH("Reporting Team",Costing[#Headers],0),0)</f>
        <v>Kim</v>
      </c>
      <c r="D725" s="28">
        <f>VLOOKUP(Budgeted_Time[[#This Row],[Client]],Costing[],MATCH("Minutes/Report",Costing[#Headers],0),0)</f>
        <v>20</v>
      </c>
    </row>
    <row r="726" spans="1:4" x14ac:dyDescent="0.2">
      <c r="A726" s="10" t="s">
        <v>79</v>
      </c>
      <c r="B726" s="10" t="s">
        <v>179</v>
      </c>
      <c r="C726" s="28" t="str">
        <f>VLOOKUP(Budgeted_Time[[#This Row],[Client]],Costing[],MATCH("BAS 1 Team",Costing[#Headers],0),0)</f>
        <v>Joanna</v>
      </c>
      <c r="D726" s="28">
        <f>VLOOKUP(Budgeted_Time[[#This Row],[Client]],Costing[],MATCH("Minutes/BAS 1",Costing[#Headers],0),0)</f>
        <v>60</v>
      </c>
    </row>
    <row r="727" spans="1:4" x14ac:dyDescent="0.2">
      <c r="A727" s="10" t="s">
        <v>79</v>
      </c>
      <c r="B727" s="10" t="s">
        <v>180</v>
      </c>
      <c r="C727" s="28" t="str">
        <f>VLOOKUP(Budgeted_Time[[#This Row],[Client]],Costing[],MATCH("BAS 2 Team",Costing[#Headers],0),0)</f>
        <v>Rachel</v>
      </c>
      <c r="D727" s="28">
        <f>VLOOKUP(Budgeted_Time[[#This Row],[Client]],Costing[],MATCH("Minutes/BAS 2",Costing[#Headers],0),0)</f>
        <v>15</v>
      </c>
    </row>
    <row r="728" spans="1:4" x14ac:dyDescent="0.2">
      <c r="A728" s="10" t="s">
        <v>79</v>
      </c>
      <c r="B728" s="10" t="s">
        <v>181</v>
      </c>
      <c r="C728" s="28">
        <f>VLOOKUP(Budgeted_Time[[#This Row],[Client]],Costing[],MATCH("IAS Team",Costing[#Headers],0),0)</f>
        <v>0</v>
      </c>
      <c r="D728" s="28">
        <f>VLOOKUP(Budgeted_Time[[#This Row],[Client]],Costing[],MATCH("Minutes/IAS",Costing[#Headers],0),0)</f>
        <v>0</v>
      </c>
    </row>
    <row r="729" spans="1:4" x14ac:dyDescent="0.2">
      <c r="A729" s="10" t="s">
        <v>79</v>
      </c>
      <c r="B729" s="10" t="s">
        <v>261</v>
      </c>
      <c r="C729" s="28" t="str">
        <f>VLOOKUP(Budgeted_Time[[#This Row],[Client]],Costing[],MATCH("EOFY Team 1",Costing[#Headers],0),0)</f>
        <v>Kim</v>
      </c>
      <c r="D729" s="28">
        <f>VLOOKUP(Budgeted_Time[[#This Row],[Client]],Costing[],MATCH("Time Min 1",Costing[#Headers],0),0)</f>
        <v>120</v>
      </c>
    </row>
    <row r="730" spans="1:4" x14ac:dyDescent="0.2">
      <c r="A730" s="10" t="s">
        <v>79</v>
      </c>
      <c r="B730" s="10" t="s">
        <v>279</v>
      </c>
      <c r="C730" s="28" t="str">
        <f>VLOOKUP(Budgeted_Time[[#This Row],[Client]],Costing[],MATCH("EOFY Team 2",Costing[#Headers],0),0)</f>
        <v>Joanna</v>
      </c>
      <c r="D730" s="28">
        <f>VLOOKUP(Budgeted_Time[[#This Row],[Client]],Costing[],MATCH("Time Min 2",Costing[#Headers],0),0)</f>
        <v>120</v>
      </c>
    </row>
    <row r="731" spans="1:4" x14ac:dyDescent="0.2">
      <c r="A731" s="10" t="s">
        <v>79</v>
      </c>
      <c r="B731" s="10" t="s">
        <v>294</v>
      </c>
      <c r="C731" s="28" t="str">
        <f>VLOOKUP(Budgeted_Time[[#This Row],[Client]],Costing[],MATCH("Onboarding Team",Costing[#Headers],0),0)</f>
        <v>Kim</v>
      </c>
      <c r="D731" s="28">
        <f>VLOOKUP(Budgeted_Time[[#This Row],[Client]],Costing[],MATCH("Onboarding Minutes",Costing[#Headers],0),0)</f>
        <v>892.5</v>
      </c>
    </row>
    <row r="732" spans="1:4" x14ac:dyDescent="0.2">
      <c r="A732" s="10" t="s">
        <v>83</v>
      </c>
      <c r="B732" s="10" t="s">
        <v>145</v>
      </c>
      <c r="C732" s="28">
        <f>VLOOKUP(Budgeted_Time[[#This Row],[Client]],Costing[],MATCH("Payroll Team",Costing[#Headers],0),0)</f>
        <v>0</v>
      </c>
      <c r="D732" s="28">
        <f>VLOOKUP(Budgeted_Time[[#This Row],[Client]],Costing[],MATCH("Minutes/Pay Run",Costing[#Headers],0),0)</f>
        <v>0</v>
      </c>
    </row>
    <row r="733" spans="1:4" x14ac:dyDescent="0.2">
      <c r="A733" s="10" t="s">
        <v>83</v>
      </c>
      <c r="B733" s="10" t="s">
        <v>176</v>
      </c>
      <c r="C733" s="28">
        <f>VLOOKUP(Budgeted_Time[[#This Row],[Client]],Costing[],MATCH("Super Team",Costing[#Headers],0),0)</f>
        <v>0</v>
      </c>
      <c r="D733" s="28">
        <f>VLOOKUP(Budgeted_Time[[#This Row],[Client]],Costing[],MATCH("Minutes/Super",Costing[#Headers],0),0)</f>
        <v>0</v>
      </c>
    </row>
    <row r="734" spans="1:4" x14ac:dyDescent="0.2">
      <c r="A734" s="10" t="s">
        <v>83</v>
      </c>
      <c r="B734" s="10" t="s">
        <v>177</v>
      </c>
      <c r="C734" s="28" t="str">
        <f>VLOOKUP(Budgeted_Time[[#This Row],[Client]],Costing[],MATCH("Bookkeeping Team",Costing[#Headers],0),0)</f>
        <v>Kathryn</v>
      </c>
      <c r="D734" s="28">
        <f>VLOOKUP(Budgeted_Time[[#This Row],[Client]],Costing[],MATCH("Minutes/Activity",Costing[#Headers],0),0)</f>
        <v>60</v>
      </c>
    </row>
    <row r="735" spans="1:4" x14ac:dyDescent="0.2">
      <c r="A735" s="10" t="s">
        <v>83</v>
      </c>
      <c r="B735" s="10" t="s">
        <v>178</v>
      </c>
      <c r="C735" s="28" t="str">
        <f>VLOOKUP(Budgeted_Time[[#This Row],[Client]],Costing[],MATCH("Reporting Team",Costing[#Headers],0),0)</f>
        <v>Kim</v>
      </c>
      <c r="D735" s="28">
        <f>VLOOKUP(Budgeted_Time[[#This Row],[Client]],Costing[],MATCH("Minutes/Report",Costing[#Headers],0),0)</f>
        <v>10</v>
      </c>
    </row>
    <row r="736" spans="1:4" x14ac:dyDescent="0.2">
      <c r="A736" s="10" t="s">
        <v>83</v>
      </c>
      <c r="B736" s="10" t="s">
        <v>179</v>
      </c>
      <c r="C736" s="28" t="str">
        <f>VLOOKUP(Budgeted_Time[[#This Row],[Client]],Costing[],MATCH("BAS 1 Team",Costing[#Headers],0),0)</f>
        <v>Kathryn</v>
      </c>
      <c r="D736" s="28">
        <f>VLOOKUP(Budgeted_Time[[#This Row],[Client]],Costing[],MATCH("Minutes/BAS 1",Costing[#Headers],0),0)</f>
        <v>60</v>
      </c>
    </row>
    <row r="737" spans="1:4" x14ac:dyDescent="0.2">
      <c r="A737" s="10" t="s">
        <v>83</v>
      </c>
      <c r="B737" s="10" t="s">
        <v>180</v>
      </c>
      <c r="C737" s="28" t="str">
        <f>VLOOKUP(Budgeted_Time[[#This Row],[Client]],Costing[],MATCH("BAS 2 Team",Costing[#Headers],0),0)</f>
        <v>Rachel</v>
      </c>
      <c r="D737" s="28">
        <f>VLOOKUP(Budgeted_Time[[#This Row],[Client]],Costing[],MATCH("Minutes/BAS 2",Costing[#Headers],0),0)</f>
        <v>15</v>
      </c>
    </row>
    <row r="738" spans="1:4" x14ac:dyDescent="0.2">
      <c r="A738" s="10" t="s">
        <v>83</v>
      </c>
      <c r="B738" s="10" t="s">
        <v>181</v>
      </c>
      <c r="C738" s="28">
        <f>VLOOKUP(Budgeted_Time[[#This Row],[Client]],Costing[],MATCH("IAS Team",Costing[#Headers],0),0)</f>
        <v>0</v>
      </c>
      <c r="D738" s="28">
        <f>VLOOKUP(Budgeted_Time[[#This Row],[Client]],Costing[],MATCH("Minutes/IAS",Costing[#Headers],0),0)</f>
        <v>0</v>
      </c>
    </row>
    <row r="739" spans="1:4" x14ac:dyDescent="0.2">
      <c r="A739" s="10" t="s">
        <v>83</v>
      </c>
      <c r="B739" s="10" t="s">
        <v>261</v>
      </c>
      <c r="C739" s="28" t="str">
        <f>VLOOKUP(Budgeted_Time[[#This Row],[Client]],Costing[],MATCH("EOFY Team 1",Costing[#Headers],0),0)</f>
        <v>Kathryn</v>
      </c>
      <c r="D739" s="28">
        <f>VLOOKUP(Budgeted_Time[[#This Row],[Client]],Costing[],MATCH("Time Min 1",Costing[#Headers],0),0)</f>
        <v>120</v>
      </c>
    </row>
    <row r="740" spans="1:4" x14ac:dyDescent="0.2">
      <c r="A740" s="10" t="s">
        <v>83</v>
      </c>
      <c r="B740" s="10" t="s">
        <v>279</v>
      </c>
      <c r="C740" s="28" t="str">
        <f>VLOOKUP(Budgeted_Time[[#This Row],[Client]],Costing[],MATCH("EOFY Team 2",Costing[#Headers],0),0)</f>
        <v>Kim</v>
      </c>
      <c r="D740" s="28">
        <f>VLOOKUP(Budgeted_Time[[#This Row],[Client]],Costing[],MATCH("Time Min 2",Costing[#Headers],0),0)</f>
        <v>120</v>
      </c>
    </row>
    <row r="741" spans="1:4" x14ac:dyDescent="0.2">
      <c r="A741" s="10" t="s">
        <v>83</v>
      </c>
      <c r="B741" s="10" t="s">
        <v>294</v>
      </c>
      <c r="C741" s="28" t="str">
        <f>VLOOKUP(Budgeted_Time[[#This Row],[Client]],Costing[],MATCH("Onboarding Team",Costing[#Headers],0),0)</f>
        <v>Kim</v>
      </c>
      <c r="D741" s="28">
        <f>VLOOKUP(Budgeted_Time[[#This Row],[Client]],Costing[],MATCH("Onboarding Minutes",Costing[#Headers],0),0)</f>
        <v>357</v>
      </c>
    </row>
    <row r="742" spans="1:4" x14ac:dyDescent="0.2">
      <c r="A742" s="10" t="s">
        <v>81</v>
      </c>
      <c r="B742" s="10" t="s">
        <v>145</v>
      </c>
      <c r="C742" s="28">
        <f>VLOOKUP(Budgeted_Time[[#This Row],[Client]],Costing[],MATCH("Payroll Team",Costing[#Headers],0),0)</f>
        <v>0</v>
      </c>
      <c r="D742" s="28">
        <f>VLOOKUP(Budgeted_Time[[#This Row],[Client]],Costing[],MATCH("Minutes/Pay Run",Costing[#Headers],0),0)</f>
        <v>0</v>
      </c>
    </row>
    <row r="743" spans="1:4" x14ac:dyDescent="0.2">
      <c r="A743" s="10" t="s">
        <v>81</v>
      </c>
      <c r="B743" s="10" t="s">
        <v>176</v>
      </c>
      <c r="C743" s="28" t="str">
        <f>VLOOKUP(Budgeted_Time[[#This Row],[Client]],Costing[],MATCH("Super Team",Costing[#Headers],0),0)</f>
        <v>Kathleen</v>
      </c>
      <c r="D743" s="28">
        <f>VLOOKUP(Budgeted_Time[[#This Row],[Client]],Costing[],MATCH("Minutes/Super",Costing[#Headers],0),0)</f>
        <v>30</v>
      </c>
    </row>
    <row r="744" spans="1:4" x14ac:dyDescent="0.2">
      <c r="A744" s="10" t="s">
        <v>81</v>
      </c>
      <c r="B744" s="10" t="s">
        <v>177</v>
      </c>
      <c r="C744" s="28" t="str">
        <f>VLOOKUP(Budgeted_Time[[#This Row],[Client]],Costing[],MATCH("Bookkeeping Team",Costing[#Headers],0),0)</f>
        <v>Kathleen</v>
      </c>
      <c r="D744" s="28">
        <f>VLOOKUP(Budgeted_Time[[#This Row],[Client]],Costing[],MATCH("Minutes/Activity",Costing[#Headers],0),0)</f>
        <v>75</v>
      </c>
    </row>
    <row r="745" spans="1:4" x14ac:dyDescent="0.2">
      <c r="A745" s="10" t="s">
        <v>81</v>
      </c>
      <c r="B745" s="10" t="s">
        <v>178</v>
      </c>
      <c r="C745" s="28" t="str">
        <f>VLOOKUP(Budgeted_Time[[#This Row],[Client]],Costing[],MATCH("Reporting Team",Costing[#Headers],0),0)</f>
        <v>Kim</v>
      </c>
      <c r="D745" s="28">
        <f>VLOOKUP(Budgeted_Time[[#This Row],[Client]],Costing[],MATCH("Minutes/Report",Costing[#Headers],0),0)</f>
        <v>150</v>
      </c>
    </row>
    <row r="746" spans="1:4" x14ac:dyDescent="0.2">
      <c r="A746" s="10" t="s">
        <v>81</v>
      </c>
      <c r="B746" s="10" t="s">
        <v>179</v>
      </c>
      <c r="C746" s="28" t="str">
        <f>VLOOKUP(Budgeted_Time[[#This Row],[Client]],Costing[],MATCH("BAS 1 Team",Costing[#Headers],0),0)</f>
        <v>Kathleen</v>
      </c>
      <c r="D746" s="28">
        <f>VLOOKUP(Budgeted_Time[[#This Row],[Client]],Costing[],MATCH("Minutes/BAS 1",Costing[#Headers],0),0)</f>
        <v>60</v>
      </c>
    </row>
    <row r="747" spans="1:4" x14ac:dyDescent="0.2">
      <c r="A747" s="10" t="s">
        <v>81</v>
      </c>
      <c r="B747" s="10" t="s">
        <v>180</v>
      </c>
      <c r="C747" s="28" t="str">
        <f>VLOOKUP(Budgeted_Time[[#This Row],[Client]],Costing[],MATCH("BAS 2 Team",Costing[#Headers],0),0)</f>
        <v>Rachel</v>
      </c>
      <c r="D747" s="28">
        <f>VLOOKUP(Budgeted_Time[[#This Row],[Client]],Costing[],MATCH("Minutes/BAS 2",Costing[#Headers],0),0)</f>
        <v>15</v>
      </c>
    </row>
    <row r="748" spans="1:4" x14ac:dyDescent="0.2">
      <c r="A748" s="10" t="s">
        <v>81</v>
      </c>
      <c r="B748" s="10" t="s">
        <v>181</v>
      </c>
      <c r="C748" s="28">
        <f>VLOOKUP(Budgeted_Time[[#This Row],[Client]],Costing[],MATCH("IAS Team",Costing[#Headers],0),0)</f>
        <v>0</v>
      </c>
      <c r="D748" s="28">
        <f>VLOOKUP(Budgeted_Time[[#This Row],[Client]],Costing[],MATCH("Minutes/IAS",Costing[#Headers],0),0)</f>
        <v>0</v>
      </c>
    </row>
    <row r="749" spans="1:4" x14ac:dyDescent="0.2">
      <c r="A749" s="10" t="s">
        <v>81</v>
      </c>
      <c r="B749" s="10" t="s">
        <v>261</v>
      </c>
      <c r="C749" s="28" t="str">
        <f>VLOOKUP(Budgeted_Time[[#This Row],[Client]],Costing[],MATCH("EOFY Team 1",Costing[#Headers],0),0)</f>
        <v>Kathleen</v>
      </c>
      <c r="D749" s="28">
        <f>VLOOKUP(Budgeted_Time[[#This Row],[Client]],Costing[],MATCH("Time Min 1",Costing[#Headers],0),0)</f>
        <v>60</v>
      </c>
    </row>
    <row r="750" spans="1:4" x14ac:dyDescent="0.2">
      <c r="A750" s="10" t="s">
        <v>81</v>
      </c>
      <c r="B750" s="10" t="s">
        <v>279</v>
      </c>
      <c r="C750" s="28" t="str">
        <f>VLOOKUP(Budgeted_Time[[#This Row],[Client]],Costing[],MATCH("EOFY Team 2",Costing[#Headers],0),0)</f>
        <v>Kim</v>
      </c>
      <c r="D750" s="28">
        <f>VLOOKUP(Budgeted_Time[[#This Row],[Client]],Costing[],MATCH("Time Min 2",Costing[#Headers],0),0)</f>
        <v>120</v>
      </c>
    </row>
    <row r="751" spans="1:4" x14ac:dyDescent="0.2">
      <c r="A751" s="10" t="s">
        <v>81</v>
      </c>
      <c r="B751" s="10" t="s">
        <v>294</v>
      </c>
      <c r="C751" s="28" t="str">
        <f>VLOOKUP(Budgeted_Time[[#This Row],[Client]],Costing[],MATCH("Onboarding Team",Costing[#Headers],0),0)</f>
        <v>Kim</v>
      </c>
      <c r="D751" s="28">
        <f>VLOOKUP(Budgeted_Time[[#This Row],[Client]],Costing[],MATCH("Onboarding Minutes",Costing[#Headers],0),0)</f>
        <v>446.25</v>
      </c>
    </row>
    <row r="752" spans="1:4" x14ac:dyDescent="0.2">
      <c r="A752" s="10" t="s">
        <v>82</v>
      </c>
      <c r="B752" s="10" t="s">
        <v>145</v>
      </c>
      <c r="C752" s="28" t="str">
        <f>VLOOKUP(Budgeted_Time[[#This Row],[Client]],Costing[],MATCH("Payroll Team",Costing[#Headers],0),0)</f>
        <v>Joanna</v>
      </c>
      <c r="D752" s="28">
        <f>VLOOKUP(Budgeted_Time[[#This Row],[Client]],Costing[],MATCH("Minutes/Pay Run",Costing[#Headers],0),0)</f>
        <v>10</v>
      </c>
    </row>
    <row r="753" spans="1:4" x14ac:dyDescent="0.2">
      <c r="A753" s="10" t="s">
        <v>82</v>
      </c>
      <c r="B753" s="10" t="s">
        <v>176</v>
      </c>
      <c r="C753" s="28" t="str">
        <f>VLOOKUP(Budgeted_Time[[#This Row],[Client]],Costing[],MATCH("Super Team",Costing[#Headers],0),0)</f>
        <v>Joanna</v>
      </c>
      <c r="D753" s="28">
        <f>VLOOKUP(Budgeted_Time[[#This Row],[Client]],Costing[],MATCH("Minutes/Super",Costing[#Headers],0),0)</f>
        <v>15</v>
      </c>
    </row>
    <row r="754" spans="1:4" x14ac:dyDescent="0.2">
      <c r="A754" s="10" t="s">
        <v>82</v>
      </c>
      <c r="B754" s="10" t="s">
        <v>177</v>
      </c>
      <c r="C754" s="28" t="str">
        <f>VLOOKUP(Budgeted_Time[[#This Row],[Client]],Costing[],MATCH("Bookkeeping Team",Costing[#Headers],0),0)</f>
        <v>Kathryn</v>
      </c>
      <c r="D754" s="28">
        <f>VLOOKUP(Budgeted_Time[[#This Row],[Client]],Costing[],MATCH("Minutes/Activity",Costing[#Headers],0),0)</f>
        <v>60</v>
      </c>
    </row>
    <row r="755" spans="1:4" x14ac:dyDescent="0.2">
      <c r="A755" s="10" t="s">
        <v>82</v>
      </c>
      <c r="B755" s="10" t="s">
        <v>178</v>
      </c>
      <c r="C755" s="28" t="str">
        <f>VLOOKUP(Budgeted_Time[[#This Row],[Client]],Costing[],MATCH("Reporting Team",Costing[#Headers],0),0)</f>
        <v>Kim</v>
      </c>
      <c r="D755" s="28">
        <f>VLOOKUP(Budgeted_Time[[#This Row],[Client]],Costing[],MATCH("Minutes/Report",Costing[#Headers],0),0)</f>
        <v>10</v>
      </c>
    </row>
    <row r="756" spans="1:4" x14ac:dyDescent="0.2">
      <c r="A756" s="10" t="s">
        <v>82</v>
      </c>
      <c r="B756" s="10" t="s">
        <v>179</v>
      </c>
      <c r="C756" s="28" t="str">
        <f>VLOOKUP(Budgeted_Time[[#This Row],[Client]],Costing[],MATCH("BAS 1 Team",Costing[#Headers],0),0)</f>
        <v>Kathryn</v>
      </c>
      <c r="D756" s="28">
        <f>VLOOKUP(Budgeted_Time[[#This Row],[Client]],Costing[],MATCH("Minutes/BAS 1",Costing[#Headers],0),0)</f>
        <v>60</v>
      </c>
    </row>
    <row r="757" spans="1:4" x14ac:dyDescent="0.2">
      <c r="A757" s="10" t="s">
        <v>82</v>
      </c>
      <c r="B757" s="10" t="s">
        <v>180</v>
      </c>
      <c r="C757" s="28" t="str">
        <f>VLOOKUP(Budgeted_Time[[#This Row],[Client]],Costing[],MATCH("BAS 2 Team",Costing[#Headers],0),0)</f>
        <v>Rachel</v>
      </c>
      <c r="D757" s="28">
        <f>VLOOKUP(Budgeted_Time[[#This Row],[Client]],Costing[],MATCH("Minutes/BAS 2",Costing[#Headers],0),0)</f>
        <v>15</v>
      </c>
    </row>
    <row r="758" spans="1:4" x14ac:dyDescent="0.2">
      <c r="A758" s="10" t="s">
        <v>82</v>
      </c>
      <c r="B758" s="10" t="s">
        <v>181</v>
      </c>
      <c r="C758" s="28">
        <f>VLOOKUP(Budgeted_Time[[#This Row],[Client]],Costing[],MATCH("IAS Team",Costing[#Headers],0),0)</f>
        <v>0</v>
      </c>
      <c r="D758" s="28">
        <f>VLOOKUP(Budgeted_Time[[#This Row],[Client]],Costing[],MATCH("Minutes/IAS",Costing[#Headers],0),0)</f>
        <v>0</v>
      </c>
    </row>
    <row r="759" spans="1:4" x14ac:dyDescent="0.2">
      <c r="A759" s="10" t="s">
        <v>82</v>
      </c>
      <c r="B759" s="10" t="s">
        <v>261</v>
      </c>
      <c r="C759" s="28" t="str">
        <f>VLOOKUP(Budgeted_Time[[#This Row],[Client]],Costing[],MATCH("EOFY Team 1",Costing[#Headers],0),0)</f>
        <v>Joanna</v>
      </c>
      <c r="D759" s="28">
        <f>VLOOKUP(Budgeted_Time[[#This Row],[Client]],Costing[],MATCH("Time Min 1",Costing[#Headers],0),0)</f>
        <v>120</v>
      </c>
    </row>
    <row r="760" spans="1:4" x14ac:dyDescent="0.2">
      <c r="A760" s="10" t="s">
        <v>82</v>
      </c>
      <c r="B760" s="10" t="s">
        <v>279</v>
      </c>
      <c r="C760" s="28" t="str">
        <f>VLOOKUP(Budgeted_Time[[#This Row],[Client]],Costing[],MATCH("EOFY Team 2",Costing[#Headers],0),0)</f>
        <v>Kim</v>
      </c>
      <c r="D760" s="28">
        <f>VLOOKUP(Budgeted_Time[[#This Row],[Client]],Costing[],MATCH("Time Min 2",Costing[#Headers],0),0)</f>
        <v>120</v>
      </c>
    </row>
    <row r="761" spans="1:4" x14ac:dyDescent="0.2">
      <c r="A761" s="10" t="s">
        <v>82</v>
      </c>
      <c r="B761" s="10" t="s">
        <v>294</v>
      </c>
      <c r="C761" s="28" t="str">
        <f>VLOOKUP(Budgeted_Time[[#This Row],[Client]],Costing[],MATCH("Onboarding Team",Costing[#Headers],0),0)</f>
        <v>Kim</v>
      </c>
      <c r="D761" s="28">
        <f>VLOOKUP(Budgeted_Time[[#This Row],[Client]],Costing[],MATCH("Onboarding Minutes",Costing[#Headers],0),0)</f>
        <v>357</v>
      </c>
    </row>
    <row r="762" spans="1:4" x14ac:dyDescent="0.2">
      <c r="A762" s="10" t="s">
        <v>280</v>
      </c>
      <c r="B762" s="10" t="s">
        <v>145</v>
      </c>
      <c r="C762" s="28" t="str">
        <f>VLOOKUP(Budgeted_Time[[#This Row],[Client]],Costing[],MATCH("Payroll Team",Costing[#Headers],0),0)</f>
        <v>Joanna</v>
      </c>
      <c r="D762" s="28">
        <f>VLOOKUP(Budgeted_Time[[#This Row],[Client]],Costing[],MATCH("Minutes/Pay Run",Costing[#Headers],0),0)</f>
        <v>25</v>
      </c>
    </row>
    <row r="763" spans="1:4" x14ac:dyDescent="0.2">
      <c r="A763" s="10" t="s">
        <v>280</v>
      </c>
      <c r="B763" s="10" t="s">
        <v>176</v>
      </c>
      <c r="C763" s="28" t="str">
        <f>VLOOKUP(Budgeted_Time[[#This Row],[Client]],Costing[],MATCH("Super Team",Costing[#Headers],0),0)</f>
        <v>Joanna</v>
      </c>
      <c r="D763" s="28">
        <f>VLOOKUP(Budgeted_Time[[#This Row],[Client]],Costing[],MATCH("Minutes/Super",Costing[#Headers],0),0)</f>
        <v>20</v>
      </c>
    </row>
    <row r="764" spans="1:4" x14ac:dyDescent="0.2">
      <c r="A764" s="10" t="s">
        <v>280</v>
      </c>
      <c r="B764" s="10" t="s">
        <v>177</v>
      </c>
      <c r="C764" s="28" t="str">
        <f>VLOOKUP(Budgeted_Time[[#This Row],[Client]],Costing[],MATCH("Bookkeeping Team",Costing[#Headers],0),0)</f>
        <v>Joanna</v>
      </c>
      <c r="D764" s="28">
        <f>VLOOKUP(Budgeted_Time[[#This Row],[Client]],Costing[],MATCH("Minutes/Activity",Costing[#Headers],0),0)</f>
        <v>480</v>
      </c>
    </row>
    <row r="765" spans="1:4" x14ac:dyDescent="0.2">
      <c r="A765" s="10" t="s">
        <v>280</v>
      </c>
      <c r="B765" s="10" t="s">
        <v>178</v>
      </c>
      <c r="C765" s="28" t="str">
        <f>VLOOKUP(Budgeted_Time[[#This Row],[Client]],Costing[],MATCH("Reporting Team",Costing[#Headers],0),0)</f>
        <v>Laurence</v>
      </c>
      <c r="D765" s="28">
        <f>VLOOKUP(Budgeted_Time[[#This Row],[Client]],Costing[],MATCH("Minutes/Report",Costing[#Headers],0),0)</f>
        <v>20</v>
      </c>
    </row>
    <row r="766" spans="1:4" x14ac:dyDescent="0.2">
      <c r="A766" s="10" t="s">
        <v>280</v>
      </c>
      <c r="B766" s="10" t="s">
        <v>179</v>
      </c>
      <c r="C766" s="28" t="str">
        <f>VLOOKUP(Budgeted_Time[[#This Row],[Client]],Costing[],MATCH("BAS 1 Team",Costing[#Headers],0),0)</f>
        <v>Joanna</v>
      </c>
      <c r="D766" s="28">
        <f>VLOOKUP(Budgeted_Time[[#This Row],[Client]],Costing[],MATCH("Minutes/BAS 1",Costing[#Headers],0),0)</f>
        <v>60</v>
      </c>
    </row>
    <row r="767" spans="1:4" x14ac:dyDescent="0.2">
      <c r="A767" s="10" t="s">
        <v>280</v>
      </c>
      <c r="B767" s="10" t="s">
        <v>180</v>
      </c>
      <c r="C767" s="28" t="str">
        <f>VLOOKUP(Budgeted_Time[[#This Row],[Client]],Costing[],MATCH("BAS 2 Team",Costing[#Headers],0),0)</f>
        <v>Rachel</v>
      </c>
      <c r="D767" s="28">
        <f>VLOOKUP(Budgeted_Time[[#This Row],[Client]],Costing[],MATCH("Minutes/BAS 2",Costing[#Headers],0),0)</f>
        <v>15</v>
      </c>
    </row>
    <row r="768" spans="1:4" x14ac:dyDescent="0.2">
      <c r="A768" s="10" t="s">
        <v>280</v>
      </c>
      <c r="B768" s="10" t="s">
        <v>181</v>
      </c>
      <c r="C768" s="28" t="str">
        <f>VLOOKUP(Budgeted_Time[[#This Row],[Client]],Costing[],MATCH("IAS Team",Costing[#Headers],0),0)</f>
        <v>Rachel</v>
      </c>
      <c r="D768" s="28">
        <f>VLOOKUP(Budgeted_Time[[#This Row],[Client]],Costing[],MATCH("Minutes/IAS",Costing[#Headers],0),0)</f>
        <v>30</v>
      </c>
    </row>
    <row r="769" spans="1:4" x14ac:dyDescent="0.2">
      <c r="A769" s="10" t="s">
        <v>280</v>
      </c>
      <c r="B769" s="10" t="s">
        <v>261</v>
      </c>
      <c r="C769" s="28" t="str">
        <f>VLOOKUP(Budgeted_Time[[#This Row],[Client]],Costing[],MATCH("EOFY Team 1",Costing[#Headers],0),0)</f>
        <v>Laurence</v>
      </c>
      <c r="D769" s="28">
        <f>VLOOKUP(Budgeted_Time[[#This Row],[Client]],Costing[],MATCH("Time Min 1",Costing[#Headers],0),0)</f>
        <v>120</v>
      </c>
    </row>
    <row r="770" spans="1:4" x14ac:dyDescent="0.2">
      <c r="A770" s="10" t="s">
        <v>280</v>
      </c>
      <c r="B770" s="10" t="s">
        <v>279</v>
      </c>
      <c r="C770" s="28" t="str">
        <f>VLOOKUP(Budgeted_Time[[#This Row],[Client]],Costing[],MATCH("EOFY Team 2",Costing[#Headers],0),0)</f>
        <v>Joanna</v>
      </c>
      <c r="D770" s="28">
        <f>VLOOKUP(Budgeted_Time[[#This Row],[Client]],Costing[],MATCH("Time Min 2",Costing[#Headers],0),0)</f>
        <v>120</v>
      </c>
    </row>
    <row r="771" spans="1:4" x14ac:dyDescent="0.2">
      <c r="A771" s="10" t="s">
        <v>280</v>
      </c>
      <c r="B771" s="10" t="s">
        <v>294</v>
      </c>
      <c r="C771" s="28" t="str">
        <f>VLOOKUP(Budgeted_Time[[#This Row],[Client]],Costing[],MATCH("Onboarding Team",Costing[#Headers],0),0)</f>
        <v>Laurence</v>
      </c>
      <c r="D771" s="28">
        <f>VLOOKUP(Budgeted_Time[[#This Row],[Client]],Costing[],MATCH("Onboarding Minutes",Costing[#Headers],0),0)</f>
        <v>2856</v>
      </c>
    </row>
    <row r="772" spans="1:4" x14ac:dyDescent="0.2">
      <c r="A772" s="10" t="s">
        <v>84</v>
      </c>
      <c r="B772" s="10" t="s">
        <v>145</v>
      </c>
      <c r="C772" s="28" t="str">
        <f>VLOOKUP(Budgeted_Time[[#This Row],[Client]],Costing[],MATCH("Payroll Team",Costing[#Headers],0),0)</f>
        <v>Rachel</v>
      </c>
      <c r="D772" s="28">
        <f>VLOOKUP(Budgeted_Time[[#This Row],[Client]],Costing[],MATCH("Minutes/Pay Run",Costing[#Headers],0),0)</f>
        <v>10</v>
      </c>
    </row>
    <row r="773" spans="1:4" x14ac:dyDescent="0.2">
      <c r="A773" s="10" t="s">
        <v>84</v>
      </c>
      <c r="B773" s="10" t="s">
        <v>176</v>
      </c>
      <c r="C773" s="28" t="str">
        <f>VLOOKUP(Budgeted_Time[[#This Row],[Client]],Costing[],MATCH("Super Team",Costing[#Headers],0),0)</f>
        <v>Rachel</v>
      </c>
      <c r="D773" s="28">
        <f>VLOOKUP(Budgeted_Time[[#This Row],[Client]],Costing[],MATCH("Minutes/Super",Costing[#Headers],0),0)</f>
        <v>10</v>
      </c>
    </row>
    <row r="774" spans="1:4" x14ac:dyDescent="0.2">
      <c r="A774" s="10" t="s">
        <v>84</v>
      </c>
      <c r="B774" s="10" t="s">
        <v>177</v>
      </c>
      <c r="C774" s="28" t="str">
        <f>VLOOKUP(Budgeted_Time[[#This Row],[Client]],Costing[],MATCH("Bookkeeping Team",Costing[#Headers],0),0)</f>
        <v>Rachel</v>
      </c>
      <c r="D774" s="28">
        <f>VLOOKUP(Budgeted_Time[[#This Row],[Client]],Costing[],MATCH("Minutes/Activity",Costing[#Headers],0),0)</f>
        <v>206</v>
      </c>
    </row>
    <row r="775" spans="1:4" x14ac:dyDescent="0.2">
      <c r="A775" s="10" t="s">
        <v>84</v>
      </c>
      <c r="B775" s="10" t="s">
        <v>178</v>
      </c>
      <c r="C775" s="28" t="str">
        <f>VLOOKUP(Budgeted_Time[[#This Row],[Client]],Costing[],MATCH("Reporting Team",Costing[#Headers],0),0)</f>
        <v>Laurence</v>
      </c>
      <c r="D775" s="28">
        <f>VLOOKUP(Budgeted_Time[[#This Row],[Client]],Costing[],MATCH("Minutes/Report",Costing[#Headers],0),0)</f>
        <v>20</v>
      </c>
    </row>
    <row r="776" spans="1:4" x14ac:dyDescent="0.2">
      <c r="A776" s="10" t="s">
        <v>84</v>
      </c>
      <c r="B776" s="10" t="s">
        <v>179</v>
      </c>
      <c r="C776" s="28" t="str">
        <f>VLOOKUP(Budgeted_Time[[#This Row],[Client]],Costing[],MATCH("BAS 1 Team",Costing[#Headers],0),0)</f>
        <v>Rachel</v>
      </c>
      <c r="D776" s="28">
        <f>VLOOKUP(Budgeted_Time[[#This Row],[Client]],Costing[],MATCH("Minutes/BAS 1",Costing[#Headers],0),0)</f>
        <v>60</v>
      </c>
    </row>
    <row r="777" spans="1:4" x14ac:dyDescent="0.2">
      <c r="A777" s="10" t="s">
        <v>84</v>
      </c>
      <c r="B777" s="10" t="s">
        <v>180</v>
      </c>
      <c r="C777" s="28" t="str">
        <f>VLOOKUP(Budgeted_Time[[#This Row],[Client]],Costing[],MATCH("BAS 2 Team",Costing[#Headers],0),0)</f>
        <v>Rachel</v>
      </c>
      <c r="D777" s="28">
        <f>VLOOKUP(Budgeted_Time[[#This Row],[Client]],Costing[],MATCH("Minutes/BAS 2",Costing[#Headers],0),0)</f>
        <v>15</v>
      </c>
    </row>
    <row r="778" spans="1:4" x14ac:dyDescent="0.2">
      <c r="A778" s="10" t="s">
        <v>84</v>
      </c>
      <c r="B778" s="10" t="s">
        <v>181</v>
      </c>
      <c r="C778" s="28">
        <f>VLOOKUP(Budgeted_Time[[#This Row],[Client]],Costing[],MATCH("IAS Team",Costing[#Headers],0),0)</f>
        <v>0</v>
      </c>
      <c r="D778" s="28">
        <f>VLOOKUP(Budgeted_Time[[#This Row],[Client]],Costing[],MATCH("Minutes/IAS",Costing[#Headers],0),0)</f>
        <v>0</v>
      </c>
    </row>
    <row r="779" spans="1:4" x14ac:dyDescent="0.2">
      <c r="A779" s="10" t="s">
        <v>84</v>
      </c>
      <c r="B779" s="10" t="s">
        <v>261</v>
      </c>
      <c r="C779" s="28" t="str">
        <f>VLOOKUP(Budgeted_Time[[#This Row],[Client]],Costing[],MATCH("EOFY Team 1",Costing[#Headers],0),0)</f>
        <v>Rachel</v>
      </c>
      <c r="D779" s="28">
        <f>VLOOKUP(Budgeted_Time[[#This Row],[Client]],Costing[],MATCH("Time Min 1",Costing[#Headers],0),0)</f>
        <v>120</v>
      </c>
    </row>
    <row r="780" spans="1:4" x14ac:dyDescent="0.2">
      <c r="A780" s="10" t="s">
        <v>84</v>
      </c>
      <c r="B780" s="10" t="s">
        <v>279</v>
      </c>
      <c r="C780" s="28" t="str">
        <f>VLOOKUP(Budgeted_Time[[#This Row],[Client]],Costing[],MATCH("EOFY Team 2",Costing[#Headers],0),0)</f>
        <v>Laurence</v>
      </c>
      <c r="D780" s="28">
        <f>VLOOKUP(Budgeted_Time[[#This Row],[Client]],Costing[],MATCH("Time Min 2",Costing[#Headers],0),0)</f>
        <v>120</v>
      </c>
    </row>
    <row r="781" spans="1:4" x14ac:dyDescent="0.2">
      <c r="A781" s="10" t="s">
        <v>84</v>
      </c>
      <c r="B781" s="10" t="s">
        <v>294</v>
      </c>
      <c r="C781" s="28" t="str">
        <f>VLOOKUP(Budgeted_Time[[#This Row],[Client]],Costing[],MATCH("Onboarding Team",Costing[#Headers],0),0)</f>
        <v>Laurence</v>
      </c>
      <c r="D781" s="28">
        <f>VLOOKUP(Budgeted_Time[[#This Row],[Client]],Costing[],MATCH("Onboarding Minutes",Costing[#Headers],0),0)</f>
        <v>1225.7</v>
      </c>
    </row>
    <row r="782" spans="1:4" x14ac:dyDescent="0.2">
      <c r="A782" s="10" t="s">
        <v>85</v>
      </c>
      <c r="B782" s="10" t="s">
        <v>145</v>
      </c>
      <c r="C782" s="28" t="str">
        <f>VLOOKUP(Budgeted_Time[[#This Row],[Client]],Costing[],MATCH("Payroll Team",Costing[#Headers],0),0)</f>
        <v>Rachel</v>
      </c>
      <c r="D782" s="28">
        <f>VLOOKUP(Budgeted_Time[[#This Row],[Client]],Costing[],MATCH("Minutes/Pay Run",Costing[#Headers],0),0)</f>
        <v>40</v>
      </c>
    </row>
    <row r="783" spans="1:4" x14ac:dyDescent="0.2">
      <c r="A783" s="10" t="s">
        <v>85</v>
      </c>
      <c r="B783" s="10" t="s">
        <v>176</v>
      </c>
      <c r="C783" s="28" t="str">
        <f>VLOOKUP(Budgeted_Time[[#This Row],[Client]],Costing[],MATCH("Super Team",Costing[#Headers],0),0)</f>
        <v>Rachel</v>
      </c>
      <c r="D783" s="28">
        <f>VLOOKUP(Budgeted_Time[[#This Row],[Client]],Costing[],MATCH("Minutes/Super",Costing[#Headers],0),0)</f>
        <v>60</v>
      </c>
    </row>
    <row r="784" spans="1:4" x14ac:dyDescent="0.2">
      <c r="A784" s="10" t="s">
        <v>85</v>
      </c>
      <c r="B784" s="10" t="s">
        <v>177</v>
      </c>
      <c r="C784" s="28" t="str">
        <f>VLOOKUP(Budgeted_Time[[#This Row],[Client]],Costing[],MATCH("Bookkeeping Team",Costing[#Headers],0),0)</f>
        <v>Rachel</v>
      </c>
      <c r="D784" s="28">
        <f>VLOOKUP(Budgeted_Time[[#This Row],[Client]],Costing[],MATCH("Minutes/Activity",Costing[#Headers],0),0)</f>
        <v>250</v>
      </c>
    </row>
    <row r="785" spans="1:4" x14ac:dyDescent="0.2">
      <c r="A785" s="10" t="s">
        <v>85</v>
      </c>
      <c r="B785" s="10" t="s">
        <v>178</v>
      </c>
      <c r="C785" s="28" t="str">
        <f>VLOOKUP(Budgeted_Time[[#This Row],[Client]],Costing[],MATCH("Reporting Team",Costing[#Headers],0),0)</f>
        <v>Kim</v>
      </c>
      <c r="D785" s="28">
        <f>VLOOKUP(Budgeted_Time[[#This Row],[Client]],Costing[],MATCH("Minutes/Report",Costing[#Headers],0),0)</f>
        <v>20</v>
      </c>
    </row>
    <row r="786" spans="1:4" x14ac:dyDescent="0.2">
      <c r="A786" s="10" t="s">
        <v>85</v>
      </c>
      <c r="B786" s="10" t="s">
        <v>179</v>
      </c>
      <c r="C786" s="28" t="str">
        <f>VLOOKUP(Budgeted_Time[[#This Row],[Client]],Costing[],MATCH("BAS 1 Team",Costing[#Headers],0),0)</f>
        <v>Rachel</v>
      </c>
      <c r="D786" s="28">
        <f>VLOOKUP(Budgeted_Time[[#This Row],[Client]],Costing[],MATCH("Minutes/BAS 1",Costing[#Headers],0),0)</f>
        <v>60</v>
      </c>
    </row>
    <row r="787" spans="1:4" x14ac:dyDescent="0.2">
      <c r="A787" s="10" t="s">
        <v>85</v>
      </c>
      <c r="B787" s="10" t="s">
        <v>180</v>
      </c>
      <c r="C787" s="28" t="str">
        <f>VLOOKUP(Budgeted_Time[[#This Row],[Client]],Costing[],MATCH("BAS 2 Team",Costing[#Headers],0),0)</f>
        <v>Rachel</v>
      </c>
      <c r="D787" s="28">
        <f>VLOOKUP(Budgeted_Time[[#This Row],[Client]],Costing[],MATCH("Minutes/BAS 2",Costing[#Headers],0),0)</f>
        <v>15</v>
      </c>
    </row>
    <row r="788" spans="1:4" x14ac:dyDescent="0.2">
      <c r="A788" s="10" t="s">
        <v>85</v>
      </c>
      <c r="B788" s="10" t="s">
        <v>181</v>
      </c>
      <c r="C788" s="28" t="str">
        <f>VLOOKUP(Budgeted_Time[[#This Row],[Client]],Costing[],MATCH("IAS Team",Costing[#Headers],0),0)</f>
        <v>Rachel</v>
      </c>
      <c r="D788" s="28">
        <f>VLOOKUP(Budgeted_Time[[#This Row],[Client]],Costing[],MATCH("Minutes/IAS",Costing[#Headers],0),0)</f>
        <v>30</v>
      </c>
    </row>
    <row r="789" spans="1:4" x14ac:dyDescent="0.2">
      <c r="A789" s="10" t="s">
        <v>85</v>
      </c>
      <c r="B789" s="10" t="s">
        <v>261</v>
      </c>
      <c r="C789" s="28" t="str">
        <f>VLOOKUP(Budgeted_Time[[#This Row],[Client]],Costing[],MATCH("EOFY Team 1",Costing[#Headers],0),0)</f>
        <v>Kim</v>
      </c>
      <c r="D789" s="28">
        <f>VLOOKUP(Budgeted_Time[[#This Row],[Client]],Costing[],MATCH("Time Min 1",Costing[#Headers],0),0)</f>
        <v>120</v>
      </c>
    </row>
    <row r="790" spans="1:4" x14ac:dyDescent="0.2">
      <c r="A790" s="10" t="s">
        <v>85</v>
      </c>
      <c r="B790" s="10" t="s">
        <v>279</v>
      </c>
      <c r="C790" s="28" t="str">
        <f>VLOOKUP(Budgeted_Time[[#This Row],[Client]],Costing[],MATCH("EOFY Team 2",Costing[#Headers],0),0)</f>
        <v>Rachel</v>
      </c>
      <c r="D790" s="28">
        <f>VLOOKUP(Budgeted_Time[[#This Row],[Client]],Costing[],MATCH("Time Min 2",Costing[#Headers],0),0)</f>
        <v>120</v>
      </c>
    </row>
    <row r="791" spans="1:4" x14ac:dyDescent="0.2">
      <c r="A791" s="10" t="s">
        <v>85</v>
      </c>
      <c r="B791" s="10" t="s">
        <v>294</v>
      </c>
      <c r="C791" s="28" t="str">
        <f>VLOOKUP(Budgeted_Time[[#This Row],[Client]],Costing[],MATCH("Onboarding Team",Costing[#Headers],0),0)</f>
        <v>Kim</v>
      </c>
      <c r="D791" s="28">
        <f>VLOOKUP(Budgeted_Time[[#This Row],[Client]],Costing[],MATCH("Onboarding Minutes",Costing[#Headers],0),0)</f>
        <v>1487.5</v>
      </c>
    </row>
    <row r="792" spans="1:4" x14ac:dyDescent="0.2">
      <c r="A792" s="10" t="s">
        <v>86</v>
      </c>
      <c r="B792" s="10" t="s">
        <v>145</v>
      </c>
      <c r="C792" s="28">
        <f>VLOOKUP(Budgeted_Time[[#This Row],[Client]],Costing[],MATCH("Payroll Team",Costing[#Headers],0),0)</f>
        <v>0</v>
      </c>
      <c r="D792" s="28">
        <f>VLOOKUP(Budgeted_Time[[#This Row],[Client]],Costing[],MATCH("Minutes/Pay Run",Costing[#Headers],0),0)</f>
        <v>0</v>
      </c>
    </row>
    <row r="793" spans="1:4" x14ac:dyDescent="0.2">
      <c r="A793" s="10" t="s">
        <v>86</v>
      </c>
      <c r="B793" s="10" t="s">
        <v>176</v>
      </c>
      <c r="C793" s="28">
        <f>VLOOKUP(Budgeted_Time[[#This Row],[Client]],Costing[],MATCH("Super Team",Costing[#Headers],0),0)</f>
        <v>0</v>
      </c>
      <c r="D793" s="28">
        <f>VLOOKUP(Budgeted_Time[[#This Row],[Client]],Costing[],MATCH("Minutes/Super",Costing[#Headers],0),0)</f>
        <v>0</v>
      </c>
    </row>
    <row r="794" spans="1:4" x14ac:dyDescent="0.2">
      <c r="A794" s="10" t="s">
        <v>86</v>
      </c>
      <c r="B794" s="10" t="s">
        <v>177</v>
      </c>
      <c r="C794" s="28" t="str">
        <f>VLOOKUP(Budgeted_Time[[#This Row],[Client]],Costing[],MATCH("Bookkeeping Team",Costing[#Headers],0),0)</f>
        <v>Kathryn</v>
      </c>
      <c r="D794" s="28">
        <f>VLOOKUP(Budgeted_Time[[#This Row],[Client]],Costing[],MATCH("Minutes/Activity",Costing[#Headers],0),0)</f>
        <v>60</v>
      </c>
    </row>
    <row r="795" spans="1:4" x14ac:dyDescent="0.2">
      <c r="A795" s="10" t="s">
        <v>86</v>
      </c>
      <c r="B795" s="10" t="s">
        <v>178</v>
      </c>
      <c r="C795" s="28" t="str">
        <f>VLOOKUP(Budgeted_Time[[#This Row],[Client]],Costing[],MATCH("Reporting Team",Costing[#Headers],0),0)</f>
        <v>Laurence</v>
      </c>
      <c r="D795" s="28">
        <f>VLOOKUP(Budgeted_Time[[#This Row],[Client]],Costing[],MATCH("Minutes/Report",Costing[#Headers],0),0)</f>
        <v>10</v>
      </c>
    </row>
    <row r="796" spans="1:4" x14ac:dyDescent="0.2">
      <c r="A796" s="10" t="s">
        <v>86</v>
      </c>
      <c r="B796" s="10" t="s">
        <v>179</v>
      </c>
      <c r="C796" s="28">
        <f>VLOOKUP(Budgeted_Time[[#This Row],[Client]],Costing[],MATCH("BAS 1 Team",Costing[#Headers],0),0)</f>
        <v>0</v>
      </c>
      <c r="D796" s="28">
        <f>VLOOKUP(Budgeted_Time[[#This Row],[Client]],Costing[],MATCH("Minutes/BAS 1",Costing[#Headers],0),0)</f>
        <v>0</v>
      </c>
    </row>
    <row r="797" spans="1:4" x14ac:dyDescent="0.2">
      <c r="A797" s="10" t="s">
        <v>86</v>
      </c>
      <c r="B797" s="10" t="s">
        <v>180</v>
      </c>
      <c r="C797" s="28">
        <f>VLOOKUP(Budgeted_Time[[#This Row],[Client]],Costing[],MATCH("BAS 2 Team",Costing[#Headers],0),0)</f>
        <v>0</v>
      </c>
      <c r="D797" s="28">
        <f>VLOOKUP(Budgeted_Time[[#This Row],[Client]],Costing[],MATCH("Minutes/BAS 2",Costing[#Headers],0),0)</f>
        <v>0</v>
      </c>
    </row>
    <row r="798" spans="1:4" x14ac:dyDescent="0.2">
      <c r="A798" s="10" t="s">
        <v>86</v>
      </c>
      <c r="B798" s="10" t="s">
        <v>181</v>
      </c>
      <c r="C798" s="28">
        <f>VLOOKUP(Budgeted_Time[[#This Row],[Client]],Costing[],MATCH("IAS Team",Costing[#Headers],0),0)</f>
        <v>0</v>
      </c>
      <c r="D798" s="28">
        <f>VLOOKUP(Budgeted_Time[[#This Row],[Client]],Costing[],MATCH("Minutes/IAS",Costing[#Headers],0),0)</f>
        <v>0</v>
      </c>
    </row>
    <row r="799" spans="1:4" x14ac:dyDescent="0.2">
      <c r="A799" s="10" t="s">
        <v>86</v>
      </c>
      <c r="B799" s="10" t="s">
        <v>261</v>
      </c>
      <c r="C799" s="28" t="str">
        <f>VLOOKUP(Budgeted_Time[[#This Row],[Client]],Costing[],MATCH("EOFY Team 1",Costing[#Headers],0),0)</f>
        <v>Kathryn</v>
      </c>
      <c r="D799" s="28">
        <f>VLOOKUP(Budgeted_Time[[#This Row],[Client]],Costing[],MATCH("Time Min 1",Costing[#Headers],0),0)</f>
        <v>120</v>
      </c>
    </row>
    <row r="800" spans="1:4" x14ac:dyDescent="0.2">
      <c r="A800" s="10" t="s">
        <v>86</v>
      </c>
      <c r="B800" s="10" t="s">
        <v>279</v>
      </c>
      <c r="C800" s="28" t="str">
        <f>VLOOKUP(Budgeted_Time[[#This Row],[Client]],Costing[],MATCH("EOFY Team 2",Costing[#Headers],0),0)</f>
        <v>Laurence</v>
      </c>
      <c r="D800" s="28">
        <f>VLOOKUP(Budgeted_Time[[#This Row],[Client]],Costing[],MATCH("Time Min 2",Costing[#Headers],0),0)</f>
        <v>120</v>
      </c>
    </row>
    <row r="801" spans="1:4" x14ac:dyDescent="0.2">
      <c r="A801" s="10" t="s">
        <v>86</v>
      </c>
      <c r="B801" s="10" t="s">
        <v>294</v>
      </c>
      <c r="C801" s="28" t="str">
        <f>VLOOKUP(Budgeted_Time[[#This Row],[Client]],Costing[],MATCH("Onboarding Team",Costing[#Headers],0),0)</f>
        <v>Laurence</v>
      </c>
      <c r="D801" s="28">
        <f>VLOOKUP(Budgeted_Time[[#This Row],[Client]],Costing[],MATCH("Onboarding Minutes",Costing[#Headers],0),0)</f>
        <v>357</v>
      </c>
    </row>
    <row r="802" spans="1:4" x14ac:dyDescent="0.2">
      <c r="A802" s="10" t="s">
        <v>88</v>
      </c>
      <c r="B802" s="10" t="s">
        <v>145</v>
      </c>
      <c r="C802" s="28">
        <f>VLOOKUP(Budgeted_Time[[#This Row],[Client]],Costing[],MATCH("Payroll Team",Costing[#Headers],0),0)</f>
        <v>0</v>
      </c>
      <c r="D802" s="28">
        <f>VLOOKUP(Budgeted_Time[[#This Row],[Client]],Costing[],MATCH("Minutes/Pay Run",Costing[#Headers],0),0)</f>
        <v>0</v>
      </c>
    </row>
    <row r="803" spans="1:4" x14ac:dyDescent="0.2">
      <c r="A803" s="10" t="s">
        <v>88</v>
      </c>
      <c r="B803" s="10" t="s">
        <v>176</v>
      </c>
      <c r="C803" s="28">
        <f>VLOOKUP(Budgeted_Time[[#This Row],[Client]],Costing[],MATCH("Super Team",Costing[#Headers],0),0)</f>
        <v>0</v>
      </c>
      <c r="D803" s="28">
        <f>VLOOKUP(Budgeted_Time[[#This Row],[Client]],Costing[],MATCH("Minutes/Super",Costing[#Headers],0),0)</f>
        <v>0</v>
      </c>
    </row>
    <row r="804" spans="1:4" x14ac:dyDescent="0.2">
      <c r="A804" s="10" t="s">
        <v>88</v>
      </c>
      <c r="B804" s="10" t="s">
        <v>177</v>
      </c>
      <c r="C804" s="28" t="str">
        <f>VLOOKUP(Budgeted_Time[[#This Row],[Client]],Costing[],MATCH("Bookkeeping Team",Costing[#Headers],0),0)</f>
        <v>Kathleen</v>
      </c>
      <c r="D804" s="28">
        <f>VLOOKUP(Budgeted_Time[[#This Row],[Client]],Costing[],MATCH("Minutes/Activity",Costing[#Headers],0),0)</f>
        <v>60</v>
      </c>
    </row>
    <row r="805" spans="1:4" x14ac:dyDescent="0.2">
      <c r="A805" s="10" t="s">
        <v>88</v>
      </c>
      <c r="B805" s="10" t="s">
        <v>178</v>
      </c>
      <c r="C805" s="28" t="str">
        <f>VLOOKUP(Budgeted_Time[[#This Row],[Client]],Costing[],MATCH("Reporting Team",Costing[#Headers],0),0)</f>
        <v>Kim</v>
      </c>
      <c r="D805" s="28">
        <f>VLOOKUP(Budgeted_Time[[#This Row],[Client]],Costing[],MATCH("Minutes/Report",Costing[#Headers],0),0)</f>
        <v>20</v>
      </c>
    </row>
    <row r="806" spans="1:4" x14ac:dyDescent="0.2">
      <c r="A806" s="10" t="s">
        <v>88</v>
      </c>
      <c r="B806" s="10" t="s">
        <v>179</v>
      </c>
      <c r="C806" s="28" t="str">
        <f>VLOOKUP(Budgeted_Time[[#This Row],[Client]],Costing[],MATCH("BAS 1 Team",Costing[#Headers],0),0)</f>
        <v>Kathleen</v>
      </c>
      <c r="D806" s="28">
        <f>VLOOKUP(Budgeted_Time[[#This Row],[Client]],Costing[],MATCH("Minutes/BAS 1",Costing[#Headers],0),0)</f>
        <v>60</v>
      </c>
    </row>
    <row r="807" spans="1:4" x14ac:dyDescent="0.2">
      <c r="A807" s="10" t="s">
        <v>88</v>
      </c>
      <c r="B807" s="10" t="s">
        <v>180</v>
      </c>
      <c r="C807" s="28" t="str">
        <f>VLOOKUP(Budgeted_Time[[#This Row],[Client]],Costing[],MATCH("BAS 2 Team",Costing[#Headers],0),0)</f>
        <v>Rachel</v>
      </c>
      <c r="D807" s="28">
        <f>VLOOKUP(Budgeted_Time[[#This Row],[Client]],Costing[],MATCH("Minutes/BAS 2",Costing[#Headers],0),0)</f>
        <v>15</v>
      </c>
    </row>
    <row r="808" spans="1:4" x14ac:dyDescent="0.2">
      <c r="A808" s="10" t="s">
        <v>88</v>
      </c>
      <c r="B808" s="10" t="s">
        <v>181</v>
      </c>
      <c r="C808" s="28">
        <f>VLOOKUP(Budgeted_Time[[#This Row],[Client]],Costing[],MATCH("IAS Team",Costing[#Headers],0),0)</f>
        <v>0</v>
      </c>
      <c r="D808" s="28">
        <f>VLOOKUP(Budgeted_Time[[#This Row],[Client]],Costing[],MATCH("Minutes/IAS",Costing[#Headers],0),0)</f>
        <v>0</v>
      </c>
    </row>
    <row r="809" spans="1:4" x14ac:dyDescent="0.2">
      <c r="A809" s="10" t="s">
        <v>88</v>
      </c>
      <c r="B809" s="10" t="s">
        <v>261</v>
      </c>
      <c r="C809" s="28" t="str">
        <f>VLOOKUP(Budgeted_Time[[#This Row],[Client]],Costing[],MATCH("EOFY Team 1",Costing[#Headers],0),0)</f>
        <v>Kim</v>
      </c>
      <c r="D809" s="28">
        <f>VLOOKUP(Budgeted_Time[[#This Row],[Client]],Costing[],MATCH("Time Min 1",Costing[#Headers],0),0)</f>
        <v>120</v>
      </c>
    </row>
    <row r="810" spans="1:4" x14ac:dyDescent="0.2">
      <c r="A810" s="10" t="s">
        <v>88</v>
      </c>
      <c r="B810" s="10" t="s">
        <v>279</v>
      </c>
      <c r="C810" s="28" t="str">
        <f>VLOOKUP(Budgeted_Time[[#This Row],[Client]],Costing[],MATCH("EOFY Team 2",Costing[#Headers],0),0)</f>
        <v>Kathleen</v>
      </c>
      <c r="D810" s="28">
        <f>VLOOKUP(Budgeted_Time[[#This Row],[Client]],Costing[],MATCH("Time Min 2",Costing[#Headers],0),0)</f>
        <v>120</v>
      </c>
    </row>
    <row r="811" spans="1:4" x14ac:dyDescent="0.2">
      <c r="A811" s="10" t="s">
        <v>88</v>
      </c>
      <c r="B811" s="10" t="s">
        <v>294</v>
      </c>
      <c r="C811" s="28" t="str">
        <f>VLOOKUP(Budgeted_Time[[#This Row],[Client]],Costing[],MATCH("Onboarding Team",Costing[#Headers],0),0)</f>
        <v>Kim</v>
      </c>
      <c r="D811" s="28">
        <f>VLOOKUP(Budgeted_Time[[#This Row],[Client]],Costing[],MATCH("Onboarding Minutes",Costing[#Headers],0),0)</f>
        <v>357</v>
      </c>
    </row>
    <row r="812" spans="1:4" x14ac:dyDescent="0.2">
      <c r="A812" s="10" t="s">
        <v>89</v>
      </c>
      <c r="B812" s="10" t="s">
        <v>145</v>
      </c>
      <c r="C812" s="28">
        <f>VLOOKUP(Budgeted_Time[[#This Row],[Client]],Costing[],MATCH("Payroll Team",Costing[#Headers],0),0)</f>
        <v>0</v>
      </c>
      <c r="D812" s="28">
        <f>VLOOKUP(Budgeted_Time[[#This Row],[Client]],Costing[],MATCH("Minutes/Pay Run",Costing[#Headers],0),0)</f>
        <v>0</v>
      </c>
    </row>
    <row r="813" spans="1:4" x14ac:dyDescent="0.2">
      <c r="A813" s="10" t="s">
        <v>89</v>
      </c>
      <c r="B813" s="10" t="s">
        <v>176</v>
      </c>
      <c r="C813" s="28">
        <f>VLOOKUP(Budgeted_Time[[#This Row],[Client]],Costing[],MATCH("Super Team",Costing[#Headers],0),0)</f>
        <v>0</v>
      </c>
      <c r="D813" s="28">
        <f>VLOOKUP(Budgeted_Time[[#This Row],[Client]],Costing[],MATCH("Minutes/Super",Costing[#Headers],0),0)</f>
        <v>0</v>
      </c>
    </row>
    <row r="814" spans="1:4" x14ac:dyDescent="0.2">
      <c r="A814" s="10" t="s">
        <v>89</v>
      </c>
      <c r="B814" s="10" t="s">
        <v>177</v>
      </c>
      <c r="C814" s="28" t="str">
        <f>VLOOKUP(Budgeted_Time[[#This Row],[Client]],Costing[],MATCH("Bookkeeping Team",Costing[#Headers],0),0)</f>
        <v>Rachel</v>
      </c>
      <c r="D814" s="28">
        <f>VLOOKUP(Budgeted_Time[[#This Row],[Client]],Costing[],MATCH("Minutes/Activity",Costing[#Headers],0),0)</f>
        <v>60</v>
      </c>
    </row>
    <row r="815" spans="1:4" x14ac:dyDescent="0.2">
      <c r="A815" s="10" t="s">
        <v>89</v>
      </c>
      <c r="B815" s="10" t="s">
        <v>178</v>
      </c>
      <c r="C815" s="28">
        <f>VLOOKUP(Budgeted_Time[[#This Row],[Client]],Costing[],MATCH("Reporting Team",Costing[#Headers],0),0)</f>
        <v>0</v>
      </c>
      <c r="D815" s="28">
        <f>VLOOKUP(Budgeted_Time[[#This Row],[Client]],Costing[],MATCH("Minutes/Report",Costing[#Headers],0),0)</f>
        <v>0</v>
      </c>
    </row>
    <row r="816" spans="1:4" x14ac:dyDescent="0.2">
      <c r="A816" s="10" t="s">
        <v>89</v>
      </c>
      <c r="B816" s="10" t="s">
        <v>179</v>
      </c>
      <c r="C816" s="28" t="str">
        <f>VLOOKUP(Budgeted_Time[[#This Row],[Client]],Costing[],MATCH("BAS 1 Team",Costing[#Headers],0),0)</f>
        <v>Kathleen</v>
      </c>
      <c r="D816" s="28">
        <f>VLOOKUP(Budgeted_Time[[#This Row],[Client]],Costing[],MATCH("Minutes/BAS 1",Costing[#Headers],0),0)</f>
        <v>60</v>
      </c>
    </row>
    <row r="817" spans="1:4" x14ac:dyDescent="0.2">
      <c r="A817" s="10" t="s">
        <v>89</v>
      </c>
      <c r="B817" s="10" t="s">
        <v>180</v>
      </c>
      <c r="C817" s="28" t="str">
        <f>VLOOKUP(Budgeted_Time[[#This Row],[Client]],Costing[],MATCH("BAS 2 Team",Costing[#Headers],0),0)</f>
        <v>Rachel</v>
      </c>
      <c r="D817" s="28">
        <f>VLOOKUP(Budgeted_Time[[#This Row],[Client]],Costing[],MATCH("Minutes/BAS 2",Costing[#Headers],0),0)</f>
        <v>15</v>
      </c>
    </row>
    <row r="818" spans="1:4" x14ac:dyDescent="0.2">
      <c r="A818" s="10" t="s">
        <v>89</v>
      </c>
      <c r="B818" s="10" t="s">
        <v>181</v>
      </c>
      <c r="C818" s="28">
        <f>VLOOKUP(Budgeted_Time[[#This Row],[Client]],Costing[],MATCH("IAS Team",Costing[#Headers],0),0)</f>
        <v>0</v>
      </c>
      <c r="D818" s="28">
        <f>VLOOKUP(Budgeted_Time[[#This Row],[Client]],Costing[],MATCH("Minutes/IAS",Costing[#Headers],0),0)</f>
        <v>0</v>
      </c>
    </row>
    <row r="819" spans="1:4" x14ac:dyDescent="0.2">
      <c r="A819" s="10" t="s">
        <v>89</v>
      </c>
      <c r="B819" s="10" t="s">
        <v>261</v>
      </c>
      <c r="C819" s="28" t="str">
        <f>VLOOKUP(Budgeted_Time[[#This Row],[Client]],Costing[],MATCH("EOFY Team 1",Costing[#Headers],0),0)</f>
        <v>Kim</v>
      </c>
      <c r="D819" s="28">
        <f>VLOOKUP(Budgeted_Time[[#This Row],[Client]],Costing[],MATCH("Time Min 1",Costing[#Headers],0),0)</f>
        <v>60</v>
      </c>
    </row>
    <row r="820" spans="1:4" x14ac:dyDescent="0.2">
      <c r="A820" s="10" t="s">
        <v>89</v>
      </c>
      <c r="B820" s="10" t="s">
        <v>279</v>
      </c>
      <c r="C820" s="28" t="str">
        <f>VLOOKUP(Budgeted_Time[[#This Row],[Client]],Costing[],MATCH("EOFY Team 2",Costing[#Headers],0),0)</f>
        <v>Rachel</v>
      </c>
      <c r="D820" s="28">
        <f>VLOOKUP(Budgeted_Time[[#This Row],[Client]],Costing[],MATCH("Time Min 2",Costing[#Headers],0),0)</f>
        <v>60</v>
      </c>
    </row>
    <row r="821" spans="1:4" x14ac:dyDescent="0.2">
      <c r="A821" s="10" t="s">
        <v>89</v>
      </c>
      <c r="B821" s="10" t="s">
        <v>294</v>
      </c>
      <c r="C821" s="28" t="str">
        <f>VLOOKUP(Budgeted_Time[[#This Row],[Client]],Costing[],MATCH("Onboarding Team",Costing[#Headers],0),0)</f>
        <v>Kim</v>
      </c>
      <c r="D821" s="28">
        <f>VLOOKUP(Budgeted_Time[[#This Row],[Client]],Costing[],MATCH("Onboarding Minutes",Costing[#Headers],0),0)</f>
        <v>357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36</vt:i4>
      </vt:variant>
    </vt:vector>
  </HeadingPairs>
  <TitlesOfParts>
    <vt:vector size="43" baseType="lpstr">
      <vt:lpstr>New Client</vt:lpstr>
      <vt:lpstr>Client Info</vt:lpstr>
      <vt:lpstr>Costing</vt:lpstr>
      <vt:lpstr>Staff Info</vt:lpstr>
      <vt:lpstr>Data Validation</vt:lpstr>
      <vt:lpstr>Industries</vt:lpstr>
      <vt:lpstr>Budgeted Time</vt:lpstr>
      <vt:lpstr>Active</vt:lpstr>
      <vt:lpstr>BAS1_Frequency</vt:lpstr>
      <vt:lpstr>BAS1_Minutes</vt:lpstr>
      <vt:lpstr>BAS1_Staff</vt:lpstr>
      <vt:lpstr>BAS2_Frequency</vt:lpstr>
      <vt:lpstr>BAS2_Minutes</vt:lpstr>
      <vt:lpstr>BAS2_Staff</vt:lpstr>
      <vt:lpstr>Book_Frequency</vt:lpstr>
      <vt:lpstr>Book_Minutes</vt:lpstr>
      <vt:lpstr>Book_Staff</vt:lpstr>
      <vt:lpstr>Client_Name</vt:lpstr>
      <vt:lpstr>EOFY_Minutes1</vt:lpstr>
      <vt:lpstr>EOFY_Minutes2</vt:lpstr>
      <vt:lpstr>EOFY_Staff1</vt:lpstr>
      <vt:lpstr>EOFY_Staff2</vt:lpstr>
      <vt:lpstr>Freq</vt:lpstr>
      <vt:lpstr>IAS_Frequency</vt:lpstr>
      <vt:lpstr>IAS_Minutes</vt:lpstr>
      <vt:lpstr>IAS_Staff</vt:lpstr>
      <vt:lpstr>Industry_Name</vt:lpstr>
      <vt:lpstr>Industry_NC</vt:lpstr>
      <vt:lpstr>Onboarding_Staff</vt:lpstr>
      <vt:lpstr>Package</vt:lpstr>
      <vt:lpstr>Package_Names</vt:lpstr>
      <vt:lpstr>Payroll_Frequency</vt:lpstr>
      <vt:lpstr>Payroll_Minutes</vt:lpstr>
      <vt:lpstr>Payroll_Staff</vt:lpstr>
      <vt:lpstr>Qty_Emp</vt:lpstr>
      <vt:lpstr>Report_Frequency</vt:lpstr>
      <vt:lpstr>Report_Minutes</vt:lpstr>
      <vt:lpstr>Report_Staff</vt:lpstr>
      <vt:lpstr>Responsible_Staff</vt:lpstr>
      <vt:lpstr>Staff_First_Name</vt:lpstr>
      <vt:lpstr>Super_Frequency</vt:lpstr>
      <vt:lpstr>Super_Minutes</vt:lpstr>
      <vt:lpstr>Super_Staff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Milan Van Niekerk</dc:creator>
  <cp:lastModifiedBy>Milan Van Niekerk</cp:lastModifiedBy>
  <dcterms:created xsi:type="dcterms:W3CDTF">2020-08-24T08:20:26Z</dcterms:created>
  <dcterms:modified xsi:type="dcterms:W3CDTF">2020-08-26T15:56:23Z</dcterms:modified>
</cp:coreProperties>
</file>